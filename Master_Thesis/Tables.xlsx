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lisafadelli/Desktop/LisaFadelli_RScript_Thesis/"/>
    </mc:Choice>
  </mc:AlternateContent>
  <xr:revisionPtr revIDLastSave="0" documentId="13_ncr:1_{28A777D8-5C0E-AC41-8868-34A8954DA85D}" xr6:coauthVersionLast="45" xr6:coauthVersionMax="45" xr10:uidLastSave="{00000000-0000-0000-0000-000000000000}"/>
  <bookViews>
    <workbookView xWindow="14520" yWindow="0" windowWidth="14280" windowHeight="18000" firstSheet="4" activeTab="10" xr2:uid="{5162B247-5454-5D46-82A3-11CC9AF5F6C0}"/>
  </bookViews>
  <sheets>
    <sheet name="DonorWeight_Spec1" sheetId="9" r:id="rId1"/>
    <sheet name="SummaryStatistics" sheetId="10" r:id="rId2"/>
    <sheet name="ATT" sheetId="12" r:id="rId3"/>
    <sheet name="Covariance Balance _ Spec 1" sheetId="13" r:id="rId4"/>
    <sheet name="Slovakia" sheetId="14" r:id="rId5"/>
    <sheet name="Latvia" sheetId="15" r:id="rId6"/>
    <sheet name="Slovenia" sheetId="16" r:id="rId7"/>
    <sheet name="Cyprus" sheetId="17" r:id="rId8"/>
    <sheet name="Malta" sheetId="18" r:id="rId9"/>
    <sheet name="Estonia" sheetId="19" r:id="rId10"/>
    <sheet name="Lithuania" sheetId="20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68" i="14" l="1"/>
  <c r="L68" i="14"/>
  <c r="J68" i="14"/>
  <c r="G68" i="14"/>
  <c r="E68" i="14"/>
  <c r="C68" i="14"/>
  <c r="U45" i="14"/>
  <c r="S45" i="14"/>
  <c r="Q45" i="14"/>
  <c r="N45" i="14"/>
  <c r="L45" i="14"/>
  <c r="J45" i="14"/>
</calcChain>
</file>

<file path=xl/sharedStrings.xml><?xml version="1.0" encoding="utf-8"?>
<sst xmlns="http://schemas.openxmlformats.org/spreadsheetml/2006/main" count="7888" uniqueCount="1282">
  <si>
    <t>Treated</t>
  </si>
  <si>
    <t>Synthetic</t>
  </si>
  <si>
    <t>0.044</t>
  </si>
  <si>
    <t>0.002</t>
  </si>
  <si>
    <t>0.034</t>
  </si>
  <si>
    <t>0.001</t>
  </si>
  <si>
    <t>Mean</t>
  </si>
  <si>
    <t>0.31</t>
  </si>
  <si>
    <t>EE</t>
  </si>
  <si>
    <t>0.007</t>
  </si>
  <si>
    <t>0.051</t>
  </si>
  <si>
    <t>0.124</t>
  </si>
  <si>
    <t>0.072</t>
  </si>
  <si>
    <t>0.031</t>
  </si>
  <si>
    <t>0.115</t>
  </si>
  <si>
    <t>0.222</t>
  </si>
  <si>
    <t>0.012</t>
  </si>
  <si>
    <t>0.069</t>
  </si>
  <si>
    <t>0.035</t>
  </si>
  <si>
    <t>0.041</t>
  </si>
  <si>
    <t>0.024</t>
  </si>
  <si>
    <t>0.074</t>
  </si>
  <si>
    <t>0.081</t>
  </si>
  <si>
    <t>0.013</t>
  </si>
  <si>
    <t>0.138</t>
  </si>
  <si>
    <t>0.083</t>
  </si>
  <si>
    <t>0.141</t>
  </si>
  <si>
    <t>0.055</t>
  </si>
  <si>
    <t>0.11</t>
  </si>
  <si>
    <t>0.268</t>
  </si>
  <si>
    <t>0.22</t>
  </si>
  <si>
    <t>0.068</t>
  </si>
  <si>
    <t>0.154</t>
  </si>
  <si>
    <t>0.431</t>
  </si>
  <si>
    <t>0.088</t>
  </si>
  <si>
    <t>0.022</t>
  </si>
  <si>
    <t>0.058</t>
  </si>
  <si>
    <t>0.037</t>
  </si>
  <si>
    <t>0.064</t>
  </si>
  <si>
    <t>0.089</t>
  </si>
  <si>
    <t>0.191</t>
  </si>
  <si>
    <t>0.06</t>
  </si>
  <si>
    <t>0.054</t>
  </si>
  <si>
    <t>-0.047</t>
  </si>
  <si>
    <t>0.169</t>
  </si>
  <si>
    <t>0.095</t>
  </si>
  <si>
    <t>-0.003</t>
  </si>
  <si>
    <t>0.086</t>
  </si>
  <si>
    <t>-4.59</t>
  </si>
  <si>
    <t>0.104</t>
  </si>
  <si>
    <t>0.318</t>
  </si>
  <si>
    <t>0.164</t>
  </si>
  <si>
    <t>0.246</t>
  </si>
  <si>
    <t>0.167</t>
  </si>
  <si>
    <t>1.39</t>
  </si>
  <si>
    <t>0.6</t>
  </si>
  <si>
    <t>-0.146</t>
  </si>
  <si>
    <t>-0.115</t>
  </si>
  <si>
    <t>-0.045</t>
  </si>
  <si>
    <t>9.59</t>
  </si>
  <si>
    <t>0.17</t>
  </si>
  <si>
    <t>0.253</t>
  </si>
  <si>
    <t>0.361</t>
  </si>
  <si>
    <t>0.304</t>
  </si>
  <si>
    <t>12.69</t>
  </si>
  <si>
    <t>0.728</t>
  </si>
  <si>
    <t>0.652</t>
  </si>
  <si>
    <t>LT</t>
  </si>
  <si>
    <t>LV</t>
  </si>
  <si>
    <t>MT</t>
  </si>
  <si>
    <t>SI</t>
  </si>
  <si>
    <t>SK</t>
  </si>
  <si>
    <t>0.07</t>
  </si>
  <si>
    <t>0.015</t>
  </si>
  <si>
    <t>0.111</t>
  </si>
  <si>
    <t>0.1</t>
  </si>
  <si>
    <t>0.109</t>
  </si>
  <si>
    <t>0.004</t>
  </si>
  <si>
    <t>0.075</t>
  </si>
  <si>
    <t>0.087</t>
  </si>
  <si>
    <t>0.033</t>
  </si>
  <si>
    <t>0.065</t>
  </si>
  <si>
    <t>0.067</t>
  </si>
  <si>
    <t>0.011</t>
  </si>
  <si>
    <t>0.059</t>
  </si>
  <si>
    <t>0.142</t>
  </si>
  <si>
    <t>0.026</t>
  </si>
  <si>
    <t>0.01</t>
  </si>
  <si>
    <t>0.005</t>
  </si>
  <si>
    <t>0.094</t>
  </si>
  <si>
    <t>0.097</t>
  </si>
  <si>
    <t>0.123</t>
  </si>
  <si>
    <t>0.025</t>
  </si>
  <si>
    <t>0.018</t>
  </si>
  <si>
    <t>0.178</t>
  </si>
  <si>
    <t>0.017</t>
  </si>
  <si>
    <t>0.016</t>
  </si>
  <si>
    <t>0.135</t>
  </si>
  <si>
    <t>0.056</t>
  </si>
  <si>
    <t>0.038</t>
  </si>
  <si>
    <t>0.077</t>
  </si>
  <si>
    <t>0.057</t>
  </si>
  <si>
    <t>0.006</t>
  </si>
  <si>
    <t>0.101</t>
  </si>
  <si>
    <t>0.046</t>
  </si>
  <si>
    <t>0.092</t>
  </si>
  <si>
    <t>0.042</t>
  </si>
  <si>
    <t>0.265</t>
  </si>
  <si>
    <t>0.152</t>
  </si>
  <si>
    <t>0.027</t>
  </si>
  <si>
    <t>0.127</t>
  </si>
  <si>
    <t>0.108</t>
  </si>
  <si>
    <t>0.032</t>
  </si>
  <si>
    <t>0.257</t>
  </si>
  <si>
    <t>0.24</t>
  </si>
  <si>
    <t>0.187</t>
  </si>
  <si>
    <t>0.203</t>
  </si>
  <si>
    <t>0.255</t>
  </si>
  <si>
    <t>0.132</t>
  </si>
  <si>
    <t>0.144</t>
  </si>
  <si>
    <t>0.258</t>
  </si>
  <si>
    <t>0.402</t>
  </si>
  <si>
    <t>0.335</t>
  </si>
  <si>
    <t>Põhja - Eesti</t>
  </si>
  <si>
    <t>Lääne - Eesti</t>
  </si>
  <si>
    <t>Kesk - Eesti</t>
  </si>
  <si>
    <t>Kirde - Eesti</t>
  </si>
  <si>
    <t>Lõuna - Eesti</t>
  </si>
  <si>
    <t>Predictor</t>
  </si>
  <si>
    <t>Weight</t>
  </si>
  <si>
    <t>Ln(Capital Stock) in 1998</t>
  </si>
  <si>
    <t>Share Agricultural, Forestry, Fishing GVA in tot GVA in 1998</t>
  </si>
  <si>
    <t>Share Industry GVA in tot GVA in 1998</t>
  </si>
  <si>
    <t>Share Trade GVA in tot GVA in 1998</t>
  </si>
  <si>
    <t>Share Construction GVA in tot GVA in 1998</t>
  </si>
  <si>
    <t>Share Financial&amp;Business GVA in tot GVA in 1998</t>
  </si>
  <si>
    <t>Compensation of employees in Trade sector in 1998</t>
  </si>
  <si>
    <t>Share of Dwellings with 3 flats in total Dwelling in 2000</t>
  </si>
  <si>
    <t>Share of Dwellings built between 1991 and 2000 in tot 2000</t>
  </si>
  <si>
    <t>Ln(Average Age of Dwellings) in 2000</t>
  </si>
  <si>
    <t>Ln(GDP p.c.) change in 1998</t>
  </si>
  <si>
    <t>Ln(GDP p.c.) change in 2003</t>
  </si>
  <si>
    <t>Ln(GDP p.c.) change in 2006</t>
  </si>
  <si>
    <t>Average of donor pool regions</t>
  </si>
  <si>
    <t>EE001</t>
  </si>
  <si>
    <t>EE004</t>
  </si>
  <si>
    <t>EE006</t>
  </si>
  <si>
    <t>EE007</t>
  </si>
  <si>
    <t>EE008</t>
  </si>
  <si>
    <t>Vilniaus apskritis</t>
  </si>
  <si>
    <t>Alytaus apskritis</t>
  </si>
  <si>
    <t>Kauno apskritis</t>
  </si>
  <si>
    <t>Klaipedos apskritis</t>
  </si>
  <si>
    <t>Marijampoles apskritis</t>
  </si>
  <si>
    <t>LT011</t>
  </si>
  <si>
    <t>LT021</t>
  </si>
  <si>
    <t>LT022</t>
  </si>
  <si>
    <t>LT023</t>
  </si>
  <si>
    <t>LT024</t>
  </si>
  <si>
    <t>Panevezio apskritis</t>
  </si>
  <si>
    <t>Siauliu apskritis</t>
  </si>
  <si>
    <t>Taurages apskritis</t>
  </si>
  <si>
    <t>Telsiu apskritis</t>
  </si>
  <si>
    <t>Utenos apskritis</t>
  </si>
  <si>
    <t>LT025</t>
  </si>
  <si>
    <t>LT026</t>
  </si>
  <si>
    <t>LT027</t>
  </si>
  <si>
    <t>LT028</t>
  </si>
  <si>
    <t>LT029</t>
  </si>
  <si>
    <t>Kurzume</t>
  </si>
  <si>
    <t>Latgale</t>
  </si>
  <si>
    <t>Riga</t>
  </si>
  <si>
    <t>Pieriga</t>
  </si>
  <si>
    <t>Vidzeme</t>
  </si>
  <si>
    <t>LV003</t>
  </si>
  <si>
    <t>LV005</t>
  </si>
  <si>
    <t>LV006</t>
  </si>
  <si>
    <t>LV007</t>
  </si>
  <si>
    <t>LV008</t>
  </si>
  <si>
    <t>LV009</t>
  </si>
  <si>
    <t>Kypros</t>
  </si>
  <si>
    <t>CY000</t>
  </si>
  <si>
    <t>Malta</t>
  </si>
  <si>
    <t>Gozo and Comino</t>
  </si>
  <si>
    <t>MT001</t>
  </si>
  <si>
    <t>MT002</t>
  </si>
  <si>
    <t>Pomurska</t>
  </si>
  <si>
    <t>Podravska</t>
  </si>
  <si>
    <t>Koroska</t>
  </si>
  <si>
    <t>Savinjska</t>
  </si>
  <si>
    <t>Zasavska</t>
  </si>
  <si>
    <t>SI031</t>
  </si>
  <si>
    <t>SI032</t>
  </si>
  <si>
    <t>SI033</t>
  </si>
  <si>
    <t>SI034</t>
  </si>
  <si>
    <t>SI035</t>
  </si>
  <si>
    <t>SI036</t>
  </si>
  <si>
    <t>Jugovzhodna Slovenija</t>
  </si>
  <si>
    <t>Primorsko - notranjska</t>
  </si>
  <si>
    <t>Osrednjeslovenska</t>
  </si>
  <si>
    <t>Gorenjska</t>
  </si>
  <si>
    <t>Goriska</t>
  </si>
  <si>
    <t>SI037</t>
  </si>
  <si>
    <t>SI038</t>
  </si>
  <si>
    <t>SI041</t>
  </si>
  <si>
    <t>SI042</t>
  </si>
  <si>
    <t>SI043</t>
  </si>
  <si>
    <t>SI044</t>
  </si>
  <si>
    <t>Bratislavsky kraj</t>
  </si>
  <si>
    <t>Trnavsky kraj</t>
  </si>
  <si>
    <t>Trenciansky kraj</t>
  </si>
  <si>
    <t>Nitriansky kraj</t>
  </si>
  <si>
    <t>SK010</t>
  </si>
  <si>
    <t>SK021</t>
  </si>
  <si>
    <t>SK022</t>
  </si>
  <si>
    <t>SK023</t>
  </si>
  <si>
    <t>Zilinsky kraj</t>
  </si>
  <si>
    <t>Banskobystricky kraj</t>
  </si>
  <si>
    <t>Presovsky kraj</t>
  </si>
  <si>
    <t>Kosicky kraj</t>
  </si>
  <si>
    <t>SK031</t>
  </si>
  <si>
    <t>SK032</t>
  </si>
  <si>
    <t>SK041</t>
  </si>
  <si>
    <t>SK042</t>
  </si>
  <si>
    <t>NUTS3 Region</t>
  </si>
  <si>
    <t>Sofia (stolitsa)</t>
  </si>
  <si>
    <t>Pest</t>
  </si>
  <si>
    <t>Bialostocki</t>
  </si>
  <si>
    <t>Warszawski wschodni</t>
  </si>
  <si>
    <t>15.1%</t>
  </si>
  <si>
    <t>4.1%</t>
  </si>
  <si>
    <t>26.3%</t>
  </si>
  <si>
    <t>6.2%</t>
  </si>
  <si>
    <t>35.8%</t>
  </si>
  <si>
    <t>11.90%</t>
  </si>
  <si>
    <t>11.6%</t>
  </si>
  <si>
    <t>0.2%</t>
  </si>
  <si>
    <t>32.8%</t>
  </si>
  <si>
    <t>3.4%</t>
  </si>
  <si>
    <t>24.1%</t>
  </si>
  <si>
    <t>0.8%</t>
  </si>
  <si>
    <t>19.8%</t>
  </si>
  <si>
    <t>35.9%</t>
  </si>
  <si>
    <t>32.1%</t>
  </si>
  <si>
    <t>0.1%</t>
  </si>
  <si>
    <t>10.1%</t>
  </si>
  <si>
    <t>2.1%</t>
  </si>
  <si>
    <t>22.3%</t>
  </si>
  <si>
    <t>11.4%</t>
  </si>
  <si>
    <t>18.9%</t>
  </si>
  <si>
    <t>4.3%</t>
  </si>
  <si>
    <t>16.5%</t>
  </si>
  <si>
    <t>43.9%</t>
  </si>
  <si>
    <t>16.3%</t>
  </si>
  <si>
    <t>11.3%</t>
  </si>
  <si>
    <t>52.4%</t>
  </si>
  <si>
    <t>0.3%</t>
  </si>
  <si>
    <t>7.3%</t>
  </si>
  <si>
    <t>3.6%</t>
  </si>
  <si>
    <t>2.8%</t>
  </si>
  <si>
    <t>21.9%</t>
  </si>
  <si>
    <t>0.7%</t>
  </si>
  <si>
    <t>38.2%</t>
  </si>
  <si>
    <t>18.5%</t>
  </si>
  <si>
    <t>17.9%</t>
  </si>
  <si>
    <t>5.1%</t>
  </si>
  <si>
    <t>4.5%</t>
  </si>
  <si>
    <t>12.4%</t>
  </si>
  <si>
    <t>6.1%</t>
  </si>
  <si>
    <t>51.9%</t>
  </si>
  <si>
    <t>6.6%</t>
  </si>
  <si>
    <t>13.3%</t>
  </si>
  <si>
    <t>7.2%</t>
  </si>
  <si>
    <t>3.1%</t>
  </si>
  <si>
    <t>16.1%</t>
  </si>
  <si>
    <t>11.5%</t>
  </si>
  <si>
    <t>38.6%</t>
  </si>
  <si>
    <t>22.2%</t>
  </si>
  <si>
    <t>1.2%</t>
  </si>
  <si>
    <t>6.9%</t>
  </si>
  <si>
    <t>3.5%</t>
  </si>
  <si>
    <t>11.9%</t>
  </si>
  <si>
    <t>14.5%</t>
  </si>
  <si>
    <t>16.8%</t>
  </si>
  <si>
    <t>12.8%</t>
  </si>
  <si>
    <t>2.4%</t>
  </si>
  <si>
    <t>7.4%</t>
  </si>
  <si>
    <t>8.1%</t>
  </si>
  <si>
    <t>12.1%</t>
  </si>
  <si>
    <t>7.6%</t>
  </si>
  <si>
    <t>42.6%</t>
  </si>
  <si>
    <t>33.2%</t>
  </si>
  <si>
    <t>4.4%</t>
  </si>
  <si>
    <t>18.4%</t>
  </si>
  <si>
    <t>11.2%</t>
  </si>
  <si>
    <t>20.4%</t>
  </si>
  <si>
    <t>1.3%</t>
  </si>
  <si>
    <t>13.8%</t>
  </si>
  <si>
    <t>15.7%</t>
  </si>
  <si>
    <t>6.3%</t>
  </si>
  <si>
    <t>41.2%</t>
  </si>
  <si>
    <t>8.3%</t>
  </si>
  <si>
    <t>14.1%</t>
  </si>
  <si>
    <t>5.5%</t>
  </si>
  <si>
    <t>24.4%</t>
  </si>
  <si>
    <t>8.5%</t>
  </si>
  <si>
    <t>Hlavni mesto Praha</t>
  </si>
  <si>
    <t>Sibensko-kninska zupanija</t>
  </si>
  <si>
    <t>Dubrovacko-neretvanska zupanija</t>
  </si>
  <si>
    <t>Targovishte</t>
  </si>
  <si>
    <t>Katowicki</t>
  </si>
  <si>
    <t>Miasto Lódz</t>
  </si>
  <si>
    <t>Pazardzhik</t>
  </si>
  <si>
    <t>Viroviticko-podravska zupanija</t>
  </si>
  <si>
    <t>Karlovacka zupanija</t>
  </si>
  <si>
    <t>Legnicko-Glogowski</t>
  </si>
  <si>
    <t>Salaj</t>
  </si>
  <si>
    <t>Koprivnicko-krizevacka zupanija</t>
  </si>
  <si>
    <t>Vas</t>
  </si>
  <si>
    <t>Alba</t>
  </si>
  <si>
    <t>Covasna</t>
  </si>
  <si>
    <t>Komárom-Esztergom</t>
  </si>
  <si>
    <t>Sibiu</t>
  </si>
  <si>
    <t>Vukovarsko-srijemska zupanija</t>
  </si>
  <si>
    <t>Budapest</t>
  </si>
  <si>
    <t>Moravskoslezsky kraj</t>
  </si>
  <si>
    <t>Grad Zagreb</t>
  </si>
  <si>
    <t>Kielecki</t>
  </si>
  <si>
    <t>Bucuresti</t>
  </si>
  <si>
    <t>Vâlcea</t>
  </si>
  <si>
    <t>Razgrad</t>
  </si>
  <si>
    <t>Swiecki</t>
  </si>
  <si>
    <t>Elcki</t>
  </si>
  <si>
    <t>Vaslui</t>
  </si>
  <si>
    <t>Ilfov</t>
  </si>
  <si>
    <t>Kardzhali</t>
  </si>
  <si>
    <t>Sosnowiecki</t>
  </si>
  <si>
    <t>Tyski</t>
  </si>
  <si>
    <t>Ruse</t>
  </si>
  <si>
    <t>Yambol</t>
  </si>
  <si>
    <t>Smolyan</t>
  </si>
  <si>
    <t>Bistrita-Nasaud</t>
  </si>
  <si>
    <t>Calarasi</t>
  </si>
  <si>
    <t>Vratsa</t>
  </si>
  <si>
    <t>Silistra</t>
  </si>
  <si>
    <t>Stara Zagora</t>
  </si>
  <si>
    <t>Rybnicki</t>
  </si>
  <si>
    <t>Szczecinecko-pyrzycki</t>
  </si>
  <si>
    <t>Karlovarsky kraj</t>
  </si>
  <si>
    <t>Botosani</t>
  </si>
  <si>
    <t>Constanta</t>
  </si>
  <si>
    <t>Galati</t>
  </si>
  <si>
    <t>Silven</t>
  </si>
  <si>
    <t>Bialski</t>
  </si>
  <si>
    <t>Pozesko-slavonska zupanija</t>
  </si>
  <si>
    <t>Mehedinti</t>
  </si>
  <si>
    <t>47.1%</t>
  </si>
  <si>
    <t>22.8%</t>
  </si>
  <si>
    <t>30.1%</t>
  </si>
  <si>
    <t>21.3%</t>
  </si>
  <si>
    <t>7.7%</t>
  </si>
  <si>
    <t>8.7%</t>
  </si>
  <si>
    <t>21.6%</t>
  </si>
  <si>
    <t>40.3%</t>
  </si>
  <si>
    <t>18.8%</t>
  </si>
  <si>
    <t>37.7%</t>
  </si>
  <si>
    <t>3.9%</t>
  </si>
  <si>
    <t>10.8%</t>
  </si>
  <si>
    <t>27.6%</t>
  </si>
  <si>
    <t>6.5%</t>
  </si>
  <si>
    <t>34.6%</t>
  </si>
  <si>
    <t>Zemgale</t>
  </si>
  <si>
    <t>9.6%</t>
  </si>
  <si>
    <t>31.4%</t>
  </si>
  <si>
    <t>41.5%</t>
  </si>
  <si>
    <t>2.5%</t>
  </si>
  <si>
    <t>5.4%</t>
  </si>
  <si>
    <t>Mures</t>
  </si>
  <si>
    <t>Timis</t>
  </si>
  <si>
    <t>Varna</t>
  </si>
  <si>
    <t>Harghita</t>
  </si>
  <si>
    <t>Vidin</t>
  </si>
  <si>
    <t>Veliko Tarnovo</t>
  </si>
  <si>
    <t>Walbrzyski</t>
  </si>
  <si>
    <t>4.7%</t>
  </si>
  <si>
    <t>0.5%</t>
  </si>
  <si>
    <t>15.6%</t>
  </si>
  <si>
    <t>19.1%</t>
  </si>
  <si>
    <t>31.7%</t>
  </si>
  <si>
    <t>14.8%</t>
  </si>
  <si>
    <t>68.5%</t>
  </si>
  <si>
    <t>31.5%</t>
  </si>
  <si>
    <t>Hlavní mesto Praha</t>
  </si>
  <si>
    <t>Békés</t>
  </si>
  <si>
    <t>Warszawki zachodni</t>
  </si>
  <si>
    <t>Medimurska zupanija</t>
  </si>
  <si>
    <t>35.2%</t>
  </si>
  <si>
    <t>12.2%</t>
  </si>
  <si>
    <t>28.8%</t>
  </si>
  <si>
    <t>1.4%</t>
  </si>
  <si>
    <t>15.9%</t>
  </si>
  <si>
    <t>2.9%</t>
  </si>
  <si>
    <t>13.7%</t>
  </si>
  <si>
    <t>13.9%</t>
  </si>
  <si>
    <t>31.3%</t>
  </si>
  <si>
    <t>10.6%</t>
  </si>
  <si>
    <t>26.1%</t>
  </si>
  <si>
    <t>6.4%</t>
  </si>
  <si>
    <t>17.4%</t>
  </si>
  <si>
    <t>20.7%</t>
  </si>
  <si>
    <t>36.9%</t>
  </si>
  <si>
    <t>11.8%</t>
  </si>
  <si>
    <t>15.5%</t>
  </si>
  <si>
    <t>1.7%</t>
  </si>
  <si>
    <t>16.6%</t>
  </si>
  <si>
    <t>Posavska</t>
  </si>
  <si>
    <t>7.8%</t>
  </si>
  <si>
    <t>40.9%</t>
  </si>
  <si>
    <t>3.3%</t>
  </si>
  <si>
    <t>25.2%</t>
  </si>
  <si>
    <t>21.5%</t>
  </si>
  <si>
    <t>5.6%</t>
  </si>
  <si>
    <t>9.4%</t>
  </si>
  <si>
    <t>3.2%</t>
  </si>
  <si>
    <t>12.9%</t>
  </si>
  <si>
    <t>3.8%</t>
  </si>
  <si>
    <t>58.2%</t>
  </si>
  <si>
    <t>Obalno - kraska</t>
  </si>
  <si>
    <t>56.6%</t>
  </si>
  <si>
    <t>1.5%</t>
  </si>
  <si>
    <t>9.2%</t>
  </si>
  <si>
    <t>32.7%</t>
  </si>
  <si>
    <t>37.2%</t>
  </si>
  <si>
    <t>15.4%</t>
  </si>
  <si>
    <t>2.3%</t>
  </si>
  <si>
    <t>13.5%</t>
  </si>
  <si>
    <t>33.9%</t>
  </si>
  <si>
    <t>37.4%</t>
  </si>
  <si>
    <t>64.1%</t>
  </si>
  <si>
    <t>5.2%</t>
  </si>
  <si>
    <t>Liberecky kraj</t>
  </si>
  <si>
    <t>Stredocesky kraj</t>
  </si>
  <si>
    <t>Krapinsko-zagorska zupanija</t>
  </si>
  <si>
    <t>Toina</t>
  </si>
  <si>
    <t>Nógrád</t>
  </si>
  <si>
    <t>Primorsko-goranska zupanija</t>
  </si>
  <si>
    <t>Fejér</t>
  </si>
  <si>
    <t>Plocki</t>
  </si>
  <si>
    <t>Jeleniogórski</t>
  </si>
  <si>
    <t>Licko-senjska zupanija</t>
  </si>
  <si>
    <t>Nyski</t>
  </si>
  <si>
    <t>Zadarska zupanija</t>
  </si>
  <si>
    <t>Miasto Warszawa</t>
  </si>
  <si>
    <t>Istarska zupanija</t>
  </si>
  <si>
    <t>Arad</t>
  </si>
  <si>
    <t>34.4%</t>
  </si>
  <si>
    <t>18.7%</t>
  </si>
  <si>
    <t>20.5%</t>
  </si>
  <si>
    <t>4.2%</t>
  </si>
  <si>
    <t>8.4%</t>
  </si>
  <si>
    <t>33.7%</t>
  </si>
  <si>
    <t>14.3%</t>
  </si>
  <si>
    <t>18.3%</t>
  </si>
  <si>
    <t>26.7%</t>
  </si>
  <si>
    <t>14.6%</t>
  </si>
  <si>
    <t>27.9%</t>
  </si>
  <si>
    <t>23.1%</t>
  </si>
  <si>
    <t>7.9%</t>
  </si>
  <si>
    <t>1.6%</t>
  </si>
  <si>
    <t>30.7%</t>
  </si>
  <si>
    <t>8.6%</t>
  </si>
  <si>
    <t>14.7%</t>
  </si>
  <si>
    <t>9.9%</t>
  </si>
  <si>
    <t>2.2%</t>
  </si>
  <si>
    <t>0.6%</t>
  </si>
  <si>
    <t>28.5%</t>
  </si>
  <si>
    <t>19.6%</t>
  </si>
  <si>
    <t>16.9%</t>
  </si>
  <si>
    <t>12.6%</t>
  </si>
  <si>
    <t>21.1%</t>
  </si>
  <si>
    <t>13.2%</t>
  </si>
  <si>
    <t>Zagrebacka zupanija</t>
  </si>
  <si>
    <t>Sisacko-moslavacka zupanija</t>
  </si>
  <si>
    <t>Vrancea</t>
  </si>
  <si>
    <t>Borsod-Abaúj-Zemplén</t>
  </si>
  <si>
    <t>Prahova</t>
  </si>
  <si>
    <t>Olt</t>
  </si>
  <si>
    <t>Rzeszowski</t>
  </si>
  <si>
    <t>Radomski</t>
  </si>
  <si>
    <t>Siedlecki</t>
  </si>
  <si>
    <t>Bács-Kiskun</t>
  </si>
  <si>
    <t>Bytomski</t>
  </si>
  <si>
    <t>Teleorman</t>
  </si>
  <si>
    <t>Szabolcs-Szatmár-Bereg</t>
  </si>
  <si>
    <t>Szczecinski</t>
  </si>
  <si>
    <t>Lubelski</t>
  </si>
  <si>
    <t>Jihocecky kraj</t>
  </si>
  <si>
    <t>Ln(Capital Stock p.c.) in 1998</t>
  </si>
  <si>
    <t>Ln(Number of Dwellings per square-km) in 2000</t>
  </si>
  <si>
    <t xml:space="preserve">S.D. </t>
  </si>
  <si>
    <t>Min</t>
  </si>
  <si>
    <t>Treated Units</t>
  </si>
  <si>
    <t>Max</t>
  </si>
  <si>
    <t>Non-Treated Units</t>
  </si>
  <si>
    <t>Average Treatment Effect of the Treated Countries post Euro adoption</t>
  </si>
  <si>
    <t>Country</t>
  </si>
  <si>
    <t>Synth_1</t>
  </si>
  <si>
    <t xml:space="preserve">Post Euro adoption period </t>
  </si>
  <si>
    <t>Synth_2</t>
  </si>
  <si>
    <t>Synth_3</t>
  </si>
  <si>
    <t>Cyprus</t>
  </si>
  <si>
    <t>- 2.76</t>
  </si>
  <si>
    <t>2008-2018</t>
  </si>
  <si>
    <t>- 2.95</t>
  </si>
  <si>
    <t>Estonia</t>
  </si>
  <si>
    <t>1.38</t>
  </si>
  <si>
    <t>2011-2018</t>
  </si>
  <si>
    <t>1.06</t>
  </si>
  <si>
    <t>1.28</t>
  </si>
  <si>
    <t>Lithuania</t>
  </si>
  <si>
    <t>- 2.16</t>
  </si>
  <si>
    <t>2015-2018</t>
  </si>
  <si>
    <t>- 1.41</t>
  </si>
  <si>
    <t>- 2.39</t>
  </si>
  <si>
    <t>Latvia</t>
  </si>
  <si>
    <t>- 1.88</t>
  </si>
  <si>
    <t>2014-2018</t>
  </si>
  <si>
    <t>- 1.98</t>
  </si>
  <si>
    <t>- 1.97</t>
  </si>
  <si>
    <t>3.09</t>
  </si>
  <si>
    <t>1.64</t>
  </si>
  <si>
    <t>3.78</t>
  </si>
  <si>
    <t>Slovenia</t>
  </si>
  <si>
    <t>- 0.27</t>
  </si>
  <si>
    <t>2007-2018</t>
  </si>
  <si>
    <t>- 0.11</t>
  </si>
  <si>
    <t>- 0.09</t>
  </si>
  <si>
    <t>Slovakia</t>
  </si>
  <si>
    <t>-1.23</t>
  </si>
  <si>
    <t>2009-2018</t>
  </si>
  <si>
    <t>-1.32</t>
  </si>
  <si>
    <t>- 1.04</t>
  </si>
  <si>
    <t>9.19</t>
  </si>
  <si>
    <t>32.5%</t>
  </si>
  <si>
    <t>7.32</t>
  </si>
  <si>
    <t>0.4%</t>
  </si>
  <si>
    <t>27.4%</t>
  </si>
  <si>
    <t>28.2%</t>
  </si>
  <si>
    <t>16.4%</t>
  </si>
  <si>
    <t>14.2%</t>
  </si>
  <si>
    <t>-4.07</t>
  </si>
  <si>
    <t>Share Agricultural. Forestry. Fishing GVA in tot GVA in 1998</t>
  </si>
  <si>
    <t>0.019</t>
  </si>
  <si>
    <t>10.2%</t>
  </si>
  <si>
    <t>0.102</t>
  </si>
  <si>
    <t>0.189</t>
  </si>
  <si>
    <t>0.149</t>
  </si>
  <si>
    <t>0.045</t>
  </si>
  <si>
    <t>10.7%</t>
  </si>
  <si>
    <t>0.107</t>
  </si>
  <si>
    <t>0.19</t>
  </si>
  <si>
    <t>0.21</t>
  </si>
  <si>
    <t>0.215</t>
  </si>
  <si>
    <t>0.276</t>
  </si>
  <si>
    <t>0.277</t>
  </si>
  <si>
    <t>6.8%</t>
  </si>
  <si>
    <t>0.455</t>
  </si>
  <si>
    <t>0.207</t>
  </si>
  <si>
    <t>2.6%</t>
  </si>
  <si>
    <t>0.378</t>
  </si>
  <si>
    <t>0.2</t>
  </si>
  <si>
    <t>0.233</t>
  </si>
  <si>
    <t>0.173</t>
  </si>
  <si>
    <t>0.185</t>
  </si>
  <si>
    <t>0.134</t>
  </si>
  <si>
    <t>6.7%</t>
  </si>
  <si>
    <t>0.249</t>
  </si>
  <si>
    <t>0.08</t>
  </si>
  <si>
    <t>10.9%</t>
  </si>
  <si>
    <t>0.079</t>
  </si>
  <si>
    <t>0.052</t>
  </si>
  <si>
    <t>0.062</t>
  </si>
  <si>
    <t>0.048</t>
  </si>
  <si>
    <t>0.199</t>
  </si>
  <si>
    <t>7.1%</t>
  </si>
  <si>
    <t>0.159</t>
  </si>
  <si>
    <t>0.175</t>
  </si>
  <si>
    <t>0.157</t>
  </si>
  <si>
    <t>0.156</t>
  </si>
  <si>
    <t>0.174</t>
  </si>
  <si>
    <t>0.15</t>
  </si>
  <si>
    <t>3.7%</t>
  </si>
  <si>
    <t>0.188</t>
  </si>
  <si>
    <t>1.41</t>
  </si>
  <si>
    <t>13.1%</t>
  </si>
  <si>
    <t>17.1%</t>
  </si>
  <si>
    <t>11.11</t>
  </si>
  <si>
    <t>10.5%</t>
  </si>
  <si>
    <t>11.01</t>
  </si>
  <si>
    <t>0.86</t>
  </si>
  <si>
    <t>0.741</t>
  </si>
  <si>
    <t>0.537</t>
  </si>
  <si>
    <t>0.387</t>
  </si>
  <si>
    <t>0.567</t>
  </si>
  <si>
    <t>0.355</t>
  </si>
  <si>
    <t>0.891</t>
  </si>
  <si>
    <t>0.481</t>
  </si>
  <si>
    <t>0.053</t>
  </si>
  <si>
    <t>0.078</t>
  </si>
  <si>
    <t>0.036</t>
  </si>
  <si>
    <t>1.9%</t>
  </si>
  <si>
    <t>1.1%</t>
  </si>
  <si>
    <t>3.67</t>
  </si>
  <si>
    <t>-0.017</t>
  </si>
  <si>
    <t>0.103</t>
  </si>
  <si>
    <t>7.5%</t>
  </si>
  <si>
    <t>0.066</t>
  </si>
  <si>
    <t>0.063</t>
  </si>
  <si>
    <t>0.106</t>
  </si>
  <si>
    <t>0.121</t>
  </si>
  <si>
    <t>0.091</t>
  </si>
  <si>
    <t>0.116</t>
  </si>
  <si>
    <t>0.112</t>
  </si>
  <si>
    <t>0.133</t>
  </si>
  <si>
    <t>5.9%</t>
  </si>
  <si>
    <t>0.126</t>
  </si>
  <si>
    <t>0.119</t>
  </si>
  <si>
    <t>17.7%</t>
  </si>
  <si>
    <t>19.4%</t>
  </si>
  <si>
    <t>0.158</t>
  </si>
  <si>
    <t>0.286</t>
  </si>
  <si>
    <t>0.236</t>
  </si>
  <si>
    <t>1.8%</t>
  </si>
  <si>
    <t>0.293</t>
  </si>
  <si>
    <t>0.29</t>
  </si>
  <si>
    <t>4.9%</t>
  </si>
  <si>
    <t>0.259</t>
  </si>
  <si>
    <t>0.262</t>
  </si>
  <si>
    <t>0.219</t>
  </si>
  <si>
    <t>0.218</t>
  </si>
  <si>
    <t>0.177</t>
  </si>
  <si>
    <t>0.179</t>
  </si>
  <si>
    <t>10.4%</t>
  </si>
  <si>
    <t>0.279</t>
  </si>
  <si>
    <t>0.202</t>
  </si>
  <si>
    <t>0.245</t>
  </si>
  <si>
    <t>0.298</t>
  </si>
  <si>
    <t>0.289</t>
  </si>
  <si>
    <t>12.3%</t>
  </si>
  <si>
    <t>0.183</t>
  </si>
  <si>
    <t>0.182</t>
  </si>
  <si>
    <t>0.082</t>
  </si>
  <si>
    <t>0.105</t>
  </si>
  <si>
    <t>0.113</t>
  </si>
  <si>
    <t>0.131</t>
  </si>
  <si>
    <t>5.3%</t>
  </si>
  <si>
    <t>0.125</t>
  </si>
  <si>
    <t>0.155</t>
  </si>
  <si>
    <t>9.1%</t>
  </si>
  <si>
    <t>0.695</t>
  </si>
  <si>
    <t>0.923</t>
  </si>
  <si>
    <t>12.48</t>
  </si>
  <si>
    <t>17.8%</t>
  </si>
  <si>
    <t>0.627</t>
  </si>
  <si>
    <t>0.51</t>
  </si>
  <si>
    <t>0.496</t>
  </si>
  <si>
    <t>15.8%</t>
  </si>
  <si>
    <t>0.659</t>
  </si>
  <si>
    <t>0.578</t>
  </si>
  <si>
    <t>0.739</t>
  </si>
  <si>
    <t>0.439</t>
  </si>
  <si>
    <t>0.434</t>
  </si>
  <si>
    <t>0.403</t>
  </si>
  <si>
    <t>19.5%</t>
  </si>
  <si>
    <t>0.098</t>
  </si>
  <si>
    <t>0.096</t>
  </si>
  <si>
    <t>9.7%</t>
  </si>
  <si>
    <t>0.128</t>
  </si>
  <si>
    <t>4.8%</t>
  </si>
  <si>
    <t>0.021</t>
  </si>
  <si>
    <t>8.2%</t>
  </si>
  <si>
    <t>0.023</t>
  </si>
  <si>
    <t>9.8%</t>
  </si>
  <si>
    <t>0.129</t>
  </si>
  <si>
    <t>0.09</t>
  </si>
  <si>
    <t>5.8%</t>
  </si>
  <si>
    <t>0.147</t>
  </si>
  <si>
    <t>0.117</t>
  </si>
  <si>
    <t>30.9%</t>
  </si>
  <si>
    <t>0.136</t>
  </si>
  <si>
    <t>0.146</t>
  </si>
  <si>
    <t>0.163</t>
  </si>
  <si>
    <t>0.9%</t>
  </si>
  <si>
    <t>0.299</t>
  </si>
  <si>
    <t>0.305</t>
  </si>
  <si>
    <t>0.206</t>
  </si>
  <si>
    <t>0.137</t>
  </si>
  <si>
    <t>0.242</t>
  </si>
  <si>
    <t>0.339</t>
  </si>
  <si>
    <t>0.338</t>
  </si>
  <si>
    <t>0.394</t>
  </si>
  <si>
    <t>0.386</t>
  </si>
  <si>
    <t>9.5%</t>
  </si>
  <si>
    <t>0.186</t>
  </si>
  <si>
    <t>0.244</t>
  </si>
  <si>
    <t>8.9%</t>
  </si>
  <si>
    <t>0.172</t>
  </si>
  <si>
    <t>13.4%</t>
  </si>
  <si>
    <t>0.18</t>
  </si>
  <si>
    <t>0.153</t>
  </si>
  <si>
    <t>0.049</t>
  </si>
  <si>
    <t>17.6%</t>
  </si>
  <si>
    <t>0.099</t>
  </si>
  <si>
    <t>21.4%</t>
  </si>
  <si>
    <t>0.118</t>
  </si>
  <si>
    <t>0.694</t>
  </si>
  <si>
    <t>0.766</t>
  </si>
  <si>
    <t>0.897</t>
  </si>
  <si>
    <t>0.92</t>
  </si>
  <si>
    <t>11.64</t>
  </si>
  <si>
    <t>10.73</t>
  </si>
  <si>
    <t>25.3%</t>
  </si>
  <si>
    <t>29.5%</t>
  </si>
  <si>
    <t>0.539</t>
  </si>
  <si>
    <t>0.488</t>
  </si>
  <si>
    <t>0.565</t>
  </si>
  <si>
    <t>0.423</t>
  </si>
  <si>
    <t>0.225</t>
  </si>
  <si>
    <t>0.551</t>
  </si>
  <si>
    <t>0.351</t>
  </si>
  <si>
    <t>0.464</t>
  </si>
  <si>
    <t>0.383</t>
  </si>
  <si>
    <t>0.014</t>
  </si>
  <si>
    <t>0.039</t>
  </si>
  <si>
    <t>-0.004</t>
  </si>
  <si>
    <t>19.9%</t>
  </si>
  <si>
    <t>0.148</t>
  </si>
  <si>
    <t>0.076</t>
  </si>
  <si>
    <t>8.43</t>
  </si>
  <si>
    <t>9.22</t>
  </si>
  <si>
    <t>31.1%</t>
  </si>
  <si>
    <t>-4.45</t>
  </si>
  <si>
    <t>-4.79</t>
  </si>
  <si>
    <t>0.043</t>
  </si>
  <si>
    <t>0.073</t>
  </si>
  <si>
    <t>0.071</t>
  </si>
  <si>
    <t>0.143</t>
  </si>
  <si>
    <t>0.35</t>
  </si>
  <si>
    <t>0.217</t>
  </si>
  <si>
    <t>0.266</t>
  </si>
  <si>
    <t>0.363</t>
  </si>
  <si>
    <t>0.248</t>
  </si>
  <si>
    <t>0.252</t>
  </si>
  <si>
    <t>0.368</t>
  </si>
  <si>
    <t>0.385</t>
  </si>
  <si>
    <t>0.295</t>
  </si>
  <si>
    <t>0.325</t>
  </si>
  <si>
    <t>0.232</t>
  </si>
  <si>
    <t>0.287</t>
  </si>
  <si>
    <t>0.211</t>
  </si>
  <si>
    <t>0.114</t>
  </si>
  <si>
    <t>4.6%</t>
  </si>
  <si>
    <t>0.194</t>
  </si>
  <si>
    <t>0.498</t>
  </si>
  <si>
    <t>0.83</t>
  </si>
  <si>
    <t>0.773</t>
  </si>
  <si>
    <t>0.792</t>
  </si>
  <si>
    <t>0.944</t>
  </si>
  <si>
    <t>8.8%</t>
  </si>
  <si>
    <t>11.93</t>
  </si>
  <si>
    <t>0.705</t>
  </si>
  <si>
    <t>0.541</t>
  </si>
  <si>
    <t>0.566</t>
  </si>
  <si>
    <t>0.457</t>
  </si>
  <si>
    <t>0.949</t>
  </si>
  <si>
    <t>0.657</t>
  </si>
  <si>
    <t>0.581</t>
  </si>
  <si>
    <t>0.529</t>
  </si>
  <si>
    <t>0.46</t>
  </si>
  <si>
    <t>0.638</t>
  </si>
  <si>
    <t>0.487</t>
  </si>
  <si>
    <t>0.061</t>
  </si>
  <si>
    <t>28.1%</t>
  </si>
  <si>
    <t>0.028</t>
  </si>
  <si>
    <t>0.047</t>
  </si>
  <si>
    <t>3.7</t>
  </si>
  <si>
    <t>20.1%</t>
  </si>
  <si>
    <t>-0.023</t>
  </si>
  <si>
    <t>0.003</t>
  </si>
  <si>
    <t>-0.073</t>
  </si>
  <si>
    <t>-0.08</t>
  </si>
  <si>
    <t>0.151</t>
  </si>
  <si>
    <t>0.009</t>
  </si>
  <si>
    <t>-0.016</t>
  </si>
  <si>
    <t>29.2%</t>
  </si>
  <si>
    <t>5.7%</t>
  </si>
  <si>
    <t>20.8%</t>
  </si>
  <si>
    <t>0.214</t>
  </si>
  <si>
    <t>0.193</t>
  </si>
  <si>
    <t>CY</t>
  </si>
  <si>
    <t>-3.19</t>
  </si>
  <si>
    <t>0.329</t>
  </si>
  <si>
    <t>11.1%</t>
  </si>
  <si>
    <t>0.165</t>
  </si>
  <si>
    <t>2.03</t>
  </si>
  <si>
    <t>0.328</t>
  </si>
  <si>
    <t>0.495</t>
  </si>
  <si>
    <t>0.261</t>
  </si>
  <si>
    <t>11.7%</t>
  </si>
  <si>
    <t>0.04</t>
  </si>
  <si>
    <t>9.12</t>
  </si>
  <si>
    <t>7.07</t>
  </si>
  <si>
    <t>-3.98</t>
  </si>
  <si>
    <t>0.278</t>
  </si>
  <si>
    <t>0.241</t>
  </si>
  <si>
    <t>1.58</t>
  </si>
  <si>
    <t>13.6%</t>
  </si>
  <si>
    <t>10.42</t>
  </si>
  <si>
    <t>0.274</t>
  </si>
  <si>
    <t>0.28</t>
  </si>
  <si>
    <t>0.201</t>
  </si>
  <si>
    <t>3.44</t>
  </si>
  <si>
    <t>10.3%</t>
  </si>
  <si>
    <t>23.4%</t>
  </si>
  <si>
    <t>-3.68</t>
  </si>
  <si>
    <t>-3.91</t>
  </si>
  <si>
    <t>-3.8</t>
  </si>
  <si>
    <t>17.3%</t>
  </si>
  <si>
    <t>17.5%</t>
  </si>
  <si>
    <t>0.306</t>
  </si>
  <si>
    <t>0.284</t>
  </si>
  <si>
    <t>0.322</t>
  </si>
  <si>
    <t>0.38</t>
  </si>
  <si>
    <t>0.411</t>
  </si>
  <si>
    <t>0.414</t>
  </si>
  <si>
    <t>0.345</t>
  </si>
  <si>
    <t>0.197</t>
  </si>
  <si>
    <t>0.16</t>
  </si>
  <si>
    <t>0.161</t>
  </si>
  <si>
    <t>0.14</t>
  </si>
  <si>
    <t>15.2%</t>
  </si>
  <si>
    <t>11.06</t>
  </si>
  <si>
    <t>0.347</t>
  </si>
  <si>
    <t>0.399</t>
  </si>
  <si>
    <t>0.393</t>
  </si>
  <si>
    <t>0.324</t>
  </si>
  <si>
    <t>0.568</t>
  </si>
  <si>
    <t>0.543</t>
  </si>
  <si>
    <t>26.5%</t>
  </si>
  <si>
    <t>0.384</t>
  </si>
  <si>
    <t>0.05</t>
  </si>
  <si>
    <t>3.62</t>
  </si>
  <si>
    <t>-0.011</t>
  </si>
  <si>
    <t>-0.001</t>
  </si>
  <si>
    <t>0.008</t>
  </si>
  <si>
    <t>-0.005</t>
  </si>
  <si>
    <t>9.3%</t>
  </si>
  <si>
    <t>-0.039</t>
  </si>
  <si>
    <t>-0.019</t>
  </si>
  <si>
    <t>12.5%</t>
  </si>
  <si>
    <t>22.7%</t>
  </si>
  <si>
    <t>22.4%</t>
  </si>
  <si>
    <t>10.35</t>
  </si>
  <si>
    <t>-3.16</t>
  </si>
  <si>
    <t>36.3%</t>
  </si>
  <si>
    <t>37.8%</t>
  </si>
  <si>
    <t>0.419</t>
  </si>
  <si>
    <t>0.36</t>
  </si>
  <si>
    <t>0.312</t>
  </si>
  <si>
    <t>0.195</t>
  </si>
  <si>
    <t>0.377</t>
  </si>
  <si>
    <t>0.372</t>
  </si>
  <si>
    <t>0.251</t>
  </si>
  <si>
    <t>0.192</t>
  </si>
  <si>
    <t>0.234</t>
  </si>
  <si>
    <t>0.362</t>
  </si>
  <si>
    <t>0.216</t>
  </si>
  <si>
    <t>0.346</t>
  </si>
  <si>
    <t>0.085</t>
  </si>
  <si>
    <t>0.162</t>
  </si>
  <si>
    <t>0.168</t>
  </si>
  <si>
    <t>0.231</t>
  </si>
  <si>
    <t>0.166</t>
  </si>
  <si>
    <t>0.237</t>
  </si>
  <si>
    <t>1.4</t>
  </si>
  <si>
    <t>2.7%</t>
  </si>
  <si>
    <t>1.75</t>
  </si>
  <si>
    <t>0.413</t>
  </si>
  <si>
    <t>0.726</t>
  </si>
  <si>
    <t>0.389</t>
  </si>
  <si>
    <t>0.511</t>
  </si>
  <si>
    <t>0.709</t>
  </si>
  <si>
    <t>0.093</t>
  </si>
  <si>
    <t>0.084</t>
  </si>
  <si>
    <t>22.9%</t>
  </si>
  <si>
    <t>-0.01</t>
  </si>
  <si>
    <t>12.7%</t>
  </si>
  <si>
    <t>0.029</t>
  </si>
  <si>
    <t>42.3%</t>
  </si>
  <si>
    <t>-3.13</t>
  </si>
  <si>
    <t>-4.3</t>
  </si>
  <si>
    <t>0.02</t>
  </si>
  <si>
    <t>0.348</t>
  </si>
  <si>
    <t>0.349</t>
  </si>
  <si>
    <t>0.367</t>
  </si>
  <si>
    <t>0.332</t>
  </si>
  <si>
    <t>0.331</t>
  </si>
  <si>
    <t>0.308</t>
  </si>
  <si>
    <t>0.291</t>
  </si>
  <si>
    <t>0.208</t>
  </si>
  <si>
    <t>20.3%</t>
  </si>
  <si>
    <t>0.228</t>
  </si>
  <si>
    <t>25.7%</t>
  </si>
  <si>
    <t>0.139</t>
  </si>
  <si>
    <t>1.3</t>
  </si>
  <si>
    <t>0.984</t>
  </si>
  <si>
    <t>12.27</t>
  </si>
  <si>
    <t>11.99</t>
  </si>
  <si>
    <t>12.12</t>
  </si>
  <si>
    <t>12.28</t>
  </si>
  <si>
    <t>0.793</t>
  </si>
  <si>
    <t>0.538</t>
  </si>
  <si>
    <t>0.433</t>
  </si>
  <si>
    <t>0.447</t>
  </si>
  <si>
    <t>0.544</t>
  </si>
  <si>
    <t>0.472</t>
  </si>
  <si>
    <t>25.5%</t>
  </si>
  <si>
    <t>25.8%</t>
  </si>
  <si>
    <t>-4.66</t>
  </si>
  <si>
    <t>-4.11</t>
  </si>
  <si>
    <t>0.272</t>
  </si>
  <si>
    <t>0.263</t>
  </si>
  <si>
    <t>0.285</t>
  </si>
  <si>
    <t>0.145</t>
  </si>
  <si>
    <t>12.17</t>
  </si>
  <si>
    <t>12.19</t>
  </si>
  <si>
    <t>40.2%</t>
  </si>
  <si>
    <t>12.3</t>
  </si>
  <si>
    <t>0.466</t>
  </si>
  <si>
    <t>0.468</t>
  </si>
  <si>
    <t>14.4%</t>
  </si>
  <si>
    <t>0.528</t>
  </si>
  <si>
    <t>0.547</t>
  </si>
  <si>
    <t>0.49</t>
  </si>
  <si>
    <t>0.484</t>
  </si>
  <si>
    <t>0.575</t>
  </si>
  <si>
    <t>0.504</t>
  </si>
  <si>
    <t>33.5%</t>
  </si>
  <si>
    <t>-0.018</t>
  </si>
  <si>
    <t>Weight_1</t>
  </si>
  <si>
    <t>Weight_2</t>
  </si>
  <si>
    <t>Weight_3</t>
  </si>
  <si>
    <t>9.02</t>
  </si>
  <si>
    <t>20.9%</t>
  </si>
  <si>
    <t>0.03</t>
  </si>
  <si>
    <t>24.2%</t>
  </si>
  <si>
    <t>23.2%</t>
  </si>
  <si>
    <t>0.223</t>
  </si>
  <si>
    <t>0.243</t>
  </si>
  <si>
    <t>0.37</t>
  </si>
  <si>
    <t>0.313</t>
  </si>
  <si>
    <t>0.235</t>
  </si>
  <si>
    <t>0.196</t>
  </si>
  <si>
    <t>0.221</t>
  </si>
  <si>
    <t>12.01</t>
  </si>
  <si>
    <t>0.718</t>
  </si>
  <si>
    <t>0.666</t>
  </si>
  <si>
    <t>0.435</t>
  </si>
  <si>
    <t>0.549</t>
  </si>
  <si>
    <t>0.502</t>
  </si>
  <si>
    <t>-</t>
  </si>
  <si>
    <t>Ln(GDP p.c.) change in 2007</t>
  </si>
  <si>
    <t>Ln(GDP p.c.) change in 2008</t>
  </si>
  <si>
    <t>RMSPE</t>
  </si>
  <si>
    <t>0.0277</t>
  </si>
  <si>
    <t>0.0327</t>
  </si>
  <si>
    <t>0.0336</t>
  </si>
  <si>
    <t>0.0378</t>
  </si>
  <si>
    <t>0.0364</t>
  </si>
  <si>
    <t>0.0480</t>
  </si>
  <si>
    <t>0.0301</t>
  </si>
  <si>
    <t>0.0312</t>
  </si>
  <si>
    <t>0.0360</t>
  </si>
  <si>
    <t>9.11</t>
  </si>
  <si>
    <t>9.04</t>
  </si>
  <si>
    <t>-4.24</t>
  </si>
  <si>
    <t>-4.23</t>
  </si>
  <si>
    <t>23.5%</t>
  </si>
  <si>
    <t>20.2%</t>
  </si>
  <si>
    <t>0.326</t>
  </si>
  <si>
    <t>0.288</t>
  </si>
  <si>
    <t>0.303</t>
  </si>
  <si>
    <t>0.224</t>
  </si>
  <si>
    <t>0.281</t>
  </si>
  <si>
    <t>0.13</t>
  </si>
  <si>
    <t>12.31</t>
  </si>
  <si>
    <t>12.11</t>
  </si>
  <si>
    <t>0.469</t>
  </si>
  <si>
    <t>0.44</t>
  </si>
  <si>
    <t>0.476</t>
  </si>
  <si>
    <t>0.47</t>
  </si>
  <si>
    <t>19.2%</t>
  </si>
  <si>
    <t>0.0198</t>
  </si>
  <si>
    <t>0.0713</t>
  </si>
  <si>
    <t>0.0233</t>
  </si>
  <si>
    <t>33.1%</t>
  </si>
  <si>
    <t>9.43</t>
  </si>
  <si>
    <t>31.9%</t>
  </si>
  <si>
    <t>14.9%</t>
  </si>
  <si>
    <t>0.275</t>
  </si>
  <si>
    <t>0.267</t>
  </si>
  <si>
    <t>20.6%</t>
  </si>
  <si>
    <t>0.574</t>
  </si>
  <si>
    <t>0.12</t>
  </si>
  <si>
    <t>3.53</t>
  </si>
  <si>
    <t>24.5%</t>
  </si>
  <si>
    <t>0.247</t>
  </si>
  <si>
    <t>0.271</t>
  </si>
  <si>
    <t>0.319</t>
  </si>
  <si>
    <t>0.238</t>
  </si>
  <si>
    <t>0.676</t>
  </si>
  <si>
    <t>0.743</t>
  </si>
  <si>
    <t>0.491</t>
  </si>
  <si>
    <t>0.407</t>
  </si>
  <si>
    <t>0.493</t>
  </si>
  <si>
    <t>0.441</t>
  </si>
  <si>
    <t>0.828</t>
  </si>
  <si>
    <t>0.87</t>
  </si>
  <si>
    <t>18.2%</t>
  </si>
  <si>
    <t>3.51</t>
  </si>
  <si>
    <t>18.1%</t>
  </si>
  <si>
    <t>Ln(GDP p.c.) change in 2012</t>
  </si>
  <si>
    <t>16.2%</t>
  </si>
  <si>
    <t>-0.002</t>
  </si>
  <si>
    <t>Ln(GDP p.c.) change in 2013</t>
  </si>
  <si>
    <t>-0.028</t>
  </si>
  <si>
    <t>0.0736</t>
  </si>
  <si>
    <t>0.0976</t>
  </si>
  <si>
    <t>0.0968</t>
  </si>
  <si>
    <t>0.0837</t>
  </si>
  <si>
    <t>0.0905</t>
  </si>
  <si>
    <t>0.0836</t>
  </si>
  <si>
    <t>0.0986</t>
  </si>
  <si>
    <t>0.1034</t>
  </si>
  <si>
    <t>0.1025</t>
  </si>
  <si>
    <t xml:space="preserve">Zemgale </t>
  </si>
  <si>
    <t>23.3%</t>
  </si>
  <si>
    <t>7.85</t>
  </si>
  <si>
    <t>-4.92</t>
  </si>
  <si>
    <t>24.6%</t>
  </si>
  <si>
    <t>0.292</t>
  </si>
  <si>
    <t>0.32</t>
  </si>
  <si>
    <t>0.297</t>
  </si>
  <si>
    <t>0.198</t>
  </si>
  <si>
    <t>0.66</t>
  </si>
  <si>
    <t>0.975</t>
  </si>
  <si>
    <t>0.755</t>
  </si>
  <si>
    <t>0.909</t>
  </si>
  <si>
    <t>0.535</t>
  </si>
  <si>
    <t>0.835</t>
  </si>
  <si>
    <t>0.463</t>
  </si>
  <si>
    <t>0.527</t>
  </si>
  <si>
    <t>0.427</t>
  </si>
  <si>
    <t>0.52</t>
  </si>
  <si>
    <t>3.5</t>
  </si>
  <si>
    <t>-0.04</t>
  </si>
  <si>
    <t>-0.014</t>
  </si>
  <si>
    <t>0.0919</t>
  </si>
  <si>
    <t>0.0971</t>
  </si>
  <si>
    <t>0.0821</t>
  </si>
  <si>
    <t>0.0907</t>
  </si>
  <si>
    <t>0.0666</t>
  </si>
  <si>
    <t>0.0794</t>
  </si>
  <si>
    <t>0.0785</t>
  </si>
  <si>
    <t>0.307</t>
  </si>
  <si>
    <t>0.227</t>
  </si>
  <si>
    <t>0.209</t>
  </si>
  <si>
    <t>1.65</t>
  </si>
  <si>
    <t>10.93</t>
  </si>
  <si>
    <t>0.369</t>
  </si>
  <si>
    <t>22.1%</t>
  </si>
  <si>
    <t>0.358</t>
  </si>
  <si>
    <t>22.5%</t>
  </si>
  <si>
    <t>0.316</t>
  </si>
  <si>
    <t>3.57</t>
  </si>
  <si>
    <t>Ln(GDP p.c.) change in 2005</t>
  </si>
  <si>
    <t>0.0244</t>
  </si>
  <si>
    <t>0.0278</t>
  </si>
  <si>
    <t>0.0345</t>
  </si>
  <si>
    <t>0.0101</t>
  </si>
  <si>
    <t>0.0151</t>
  </si>
  <si>
    <t>0.0177</t>
  </si>
  <si>
    <t>0.0319</t>
  </si>
  <si>
    <t>0.0382</t>
  </si>
  <si>
    <t>0.0478</t>
  </si>
  <si>
    <t>-3.82</t>
  </si>
  <si>
    <t>0.379</t>
  </si>
  <si>
    <t>0.27</t>
  </si>
  <si>
    <t>44.5%</t>
  </si>
  <si>
    <t>0.213</t>
  </si>
  <si>
    <t>42.5%</t>
  </si>
  <si>
    <t>1.43</t>
  </si>
  <si>
    <t>0.401</t>
  </si>
  <si>
    <t>0.485</t>
  </si>
  <si>
    <t>0.556</t>
  </si>
  <si>
    <t>0.0091</t>
  </si>
  <si>
    <t>0.0082</t>
  </si>
  <si>
    <t>0.0179</t>
  </si>
  <si>
    <t>0.0365</t>
  </si>
  <si>
    <t>0.0496</t>
  </si>
  <si>
    <t>0.0554</t>
  </si>
  <si>
    <t>0.0235</t>
  </si>
  <si>
    <t>0.0389</t>
  </si>
  <si>
    <t>Primorsko-notranjska</t>
  </si>
  <si>
    <t>8.8</t>
  </si>
  <si>
    <t>-4.03</t>
  </si>
  <si>
    <t>38.1%</t>
  </si>
  <si>
    <t>-3.26</t>
  </si>
  <si>
    <t>16.7%</t>
  </si>
  <si>
    <t>0.356</t>
  </si>
  <si>
    <t>0.184</t>
  </si>
  <si>
    <t>0.364</t>
  </si>
  <si>
    <t>0.342</t>
  </si>
  <si>
    <t>24.8%</t>
  </si>
  <si>
    <t>15.3%</t>
  </si>
  <si>
    <t>0.45</t>
  </si>
  <si>
    <t>0.625</t>
  </si>
  <si>
    <t>0.0309</t>
  </si>
  <si>
    <t>0.0339</t>
  </si>
  <si>
    <t>0.0255</t>
  </si>
  <si>
    <t>0.0338</t>
  </si>
  <si>
    <t>0.0346</t>
  </si>
  <si>
    <t>0.0287</t>
  </si>
  <si>
    <t>0.0288</t>
  </si>
  <si>
    <t>0.0310</t>
  </si>
  <si>
    <t>Obalno-kraska</t>
  </si>
  <si>
    <t>-4.28</t>
  </si>
  <si>
    <t>-3.24</t>
  </si>
  <si>
    <t>21.8%</t>
  </si>
  <si>
    <t>27.7%</t>
  </si>
  <si>
    <t>0.327</t>
  </si>
  <si>
    <t>0.176</t>
  </si>
  <si>
    <t>0.212</t>
  </si>
  <si>
    <t>0.239</t>
  </si>
  <si>
    <t>1.92</t>
  </si>
  <si>
    <t>0.395</t>
  </si>
  <si>
    <t>21.7%</t>
  </si>
  <si>
    <t>0.321</t>
  </si>
  <si>
    <t>0.333</t>
  </si>
  <si>
    <t>0.825</t>
  </si>
  <si>
    <t>0.808</t>
  </si>
  <si>
    <t>0.0113</t>
  </si>
  <si>
    <t>0.0260</t>
  </si>
  <si>
    <t>0.0307</t>
  </si>
  <si>
    <t>0.0247</t>
  </si>
  <si>
    <t>0.0306</t>
  </si>
  <si>
    <t>0.0313</t>
  </si>
  <si>
    <t>0.0514</t>
  </si>
  <si>
    <t>0.0545</t>
  </si>
  <si>
    <t>0.0570</t>
  </si>
  <si>
    <t>-4.15</t>
  </si>
  <si>
    <t>0.0217</t>
  </si>
  <si>
    <t>0.0240</t>
  </si>
  <si>
    <t xml:space="preserve">Gozo and Comino </t>
  </si>
  <si>
    <t>0.3</t>
  </si>
  <si>
    <t>29.1%</t>
  </si>
  <si>
    <t>0.13%</t>
  </si>
  <si>
    <t>12.09</t>
  </si>
  <si>
    <t>0.0286</t>
  </si>
  <si>
    <t>0.0348</t>
  </si>
  <si>
    <t>0.0576</t>
  </si>
  <si>
    <t>0.0578</t>
  </si>
  <si>
    <t>23.9%</t>
  </si>
  <si>
    <t>7.45</t>
  </si>
  <si>
    <t>19.7%</t>
  </si>
  <si>
    <t>-4.72</t>
  </si>
  <si>
    <t>0.171</t>
  </si>
  <si>
    <t>0.181</t>
  </si>
  <si>
    <t>26.9%</t>
  </si>
  <si>
    <t>0.25</t>
  </si>
  <si>
    <t>0.256</t>
  </si>
  <si>
    <t>0.314</t>
  </si>
  <si>
    <t>0.204</t>
  </si>
  <si>
    <t>0.06%</t>
  </si>
  <si>
    <t>27.3%</t>
  </si>
  <si>
    <t>0.745</t>
  </si>
  <si>
    <t>0.724</t>
  </si>
  <si>
    <t>0.478</t>
  </si>
  <si>
    <t>0.4</t>
  </si>
  <si>
    <t>3.58</t>
  </si>
  <si>
    <t>35.5%</t>
  </si>
  <si>
    <t>Ln(GDP p.c.) change in 2009</t>
  </si>
  <si>
    <t>-0.127</t>
  </si>
  <si>
    <t>-0.03</t>
  </si>
  <si>
    <t>-0.245</t>
  </si>
  <si>
    <t>-0.104</t>
  </si>
  <si>
    <t>-0.259</t>
  </si>
  <si>
    <t>-0.106</t>
  </si>
  <si>
    <t>Ln(GDP p.c.) change in 2010</t>
  </si>
  <si>
    <t>-0.012</t>
  </si>
  <si>
    <t>0.0749</t>
  </si>
  <si>
    <t>0.0771</t>
  </si>
  <si>
    <t>0.0686</t>
  </si>
  <si>
    <t>0.0786</t>
  </si>
  <si>
    <t>0.0657</t>
  </si>
  <si>
    <t>0.0866</t>
  </si>
  <si>
    <t>0.0775</t>
  </si>
  <si>
    <t>0.0773</t>
  </si>
  <si>
    <t>0.0882</t>
  </si>
  <si>
    <t>0.432</t>
  </si>
  <si>
    <t>17.2%</t>
  </si>
  <si>
    <t>0.697</t>
  </si>
  <si>
    <t>-0.263</t>
  </si>
  <si>
    <t>-0.118</t>
  </si>
  <si>
    <t>-0.032</t>
  </si>
  <si>
    <t>0.122</t>
  </si>
  <si>
    <t>-0.013</t>
  </si>
  <si>
    <t>0.0728</t>
  </si>
  <si>
    <t>0.0817</t>
  </si>
  <si>
    <t>0.0950</t>
  </si>
  <si>
    <t>0.0591</t>
  </si>
  <si>
    <t>0.0619</t>
  </si>
  <si>
    <t>0.296</t>
  </si>
  <si>
    <t>0.315</t>
  </si>
  <si>
    <t>0.913</t>
  </si>
  <si>
    <t>11.22</t>
  </si>
  <si>
    <t>0.645</t>
  </si>
  <si>
    <t>0.458</t>
  </si>
  <si>
    <t>0.506</t>
  </si>
  <si>
    <t>0.473</t>
  </si>
  <si>
    <t>Ln(GDP p.c.) change in 2014</t>
  </si>
  <si>
    <t>0.0699</t>
  </si>
  <si>
    <t>0.0717</t>
  </si>
  <si>
    <t>0.0690</t>
  </si>
  <si>
    <t>0.0682</t>
  </si>
  <si>
    <t>0.0701</t>
  </si>
  <si>
    <t>0.0697</t>
  </si>
  <si>
    <t>0.0761</t>
  </si>
  <si>
    <t>-4.9</t>
  </si>
  <si>
    <t>28.3%</t>
  </si>
  <si>
    <t>0.301</t>
  </si>
  <si>
    <t>0.302</t>
  </si>
  <si>
    <t>0.678</t>
  </si>
  <si>
    <t>32.9%</t>
  </si>
  <si>
    <t>0.843</t>
  </si>
  <si>
    <t>0.449</t>
  </si>
  <si>
    <t>0.418</t>
  </si>
  <si>
    <t>0.0567</t>
  </si>
  <si>
    <t>0.0594</t>
  </si>
  <si>
    <t>0.0924</t>
  </si>
  <si>
    <t>0.0918</t>
  </si>
  <si>
    <t>0.0946</t>
  </si>
  <si>
    <t>0.0779</t>
  </si>
  <si>
    <t>0.0791</t>
  </si>
  <si>
    <t>-5.17</t>
  </si>
  <si>
    <t>-5.21</t>
  </si>
  <si>
    <t>0.26</t>
  </si>
  <si>
    <t>19.3%</t>
  </si>
  <si>
    <t>0.685</t>
  </si>
  <si>
    <t>0.943</t>
  </si>
  <si>
    <t>0.679</t>
  </si>
  <si>
    <t>0.757</t>
  </si>
  <si>
    <t>0.452</t>
  </si>
  <si>
    <t>3.47</t>
  </si>
  <si>
    <t>0.0744</t>
  </si>
  <si>
    <t>0.0789</t>
  </si>
  <si>
    <t>0.0839</t>
  </si>
  <si>
    <t>0.0655</t>
  </si>
  <si>
    <t>0.0695</t>
  </si>
  <si>
    <t>0.0678</t>
  </si>
  <si>
    <t>0.354</t>
  </si>
  <si>
    <t>0.392</t>
  </si>
  <si>
    <t>38.8%</t>
  </si>
  <si>
    <t>0.311</t>
  </si>
  <si>
    <t>3.59</t>
  </si>
  <si>
    <t>-0.009</t>
  </si>
  <si>
    <t>0.0820</t>
  </si>
  <si>
    <t>0.0774</t>
  </si>
  <si>
    <t>0.0856</t>
  </si>
  <si>
    <t>0.0596</t>
  </si>
  <si>
    <t>0.0569</t>
  </si>
  <si>
    <t>0.0629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</si>
</sst>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#,##0.000"/>
    <numFmt numFmtId="165" formatCode="0.000"/>
    <numFmt numFmtId="168" formatCode="0.0000"/>
    <numFmt numFmtId="170" formatCode="0.0%"/>
    <numFmt numFmtId="171" formatCode="0.0000000"/>
    <numFmt numFmtId="172" formatCode="0.00000"/>
  </numFmts>
  <fonts count="12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LatinModernMath-Regular"/>
    </font>
    <font>
      <sz val="12"/>
      <color rgb="FF000000"/>
      <name val="LatinModernMath-Regular"/>
    </font>
    <font>
      <sz val="12"/>
      <color rgb="FF000000"/>
      <name val="Trebuchet MS"/>
      <family val="2"/>
    </font>
    <font>
      <sz val="11"/>
      <color theme="1"/>
      <name val="LatinModernMath-Regular"/>
    </font>
    <font>
      <sz val="10"/>
      <color theme="1"/>
      <name val="LatinModernMath-Regular"/>
    </font>
    <font>
      <sz val="10"/>
      <color rgb="FF000000"/>
      <name val="Latin Modern Roman 10 Regular"/>
    </font>
    <font>
      <sz val="10"/>
      <color rgb="FF000000"/>
      <name val="LatinModernMath-Regular"/>
    </font>
    <font>
      <sz val="8"/>
      <name val="Calibri"/>
      <family val="2"/>
      <scheme val="minor"/>
    </font>
    <font>
      <sz val="14"/>
      <color theme="1"/>
      <name val="LatinModernMath-Regular"/>
    </font>
    <font>
      <sz val="12"/>
      <name val="LatinModernMath-Regular"/>
    </font>
  </fonts>
  <fills count="2">
    <fill>
      <patternFill patternType="none"/>
    </fill>
    <fill>
      <patternFill patternType="gray125"/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03">
    <xf numFmtId="0" fontId="0" fillId="0" borderId="0" xfId="0"/>
    <xf numFmtId="3" fontId="0" fillId="0" borderId="0" xfId="0" applyNumberFormat="1"/>
    <xf numFmtId="0" fontId="0" fillId="0" borderId="0" xfId="0" applyAlignment="1">
      <alignment wrapText="1"/>
    </xf>
    <xf numFmtId="0" fontId="2" fillId="0" borderId="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70" fontId="2" fillId="0" borderId="11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9" fontId="2" fillId="0" borderId="0" xfId="2" applyFont="1" applyBorder="1" applyAlignment="1">
      <alignment horizontal="center" vertical="center"/>
    </xf>
    <xf numFmtId="9" fontId="2" fillId="0" borderId="10" xfId="2" applyFont="1" applyBorder="1" applyAlignment="1">
      <alignment horizontal="center" vertical="center"/>
    </xf>
    <xf numFmtId="170" fontId="2" fillId="0" borderId="0" xfId="2" applyNumberFormat="1" applyFont="1" applyBorder="1" applyAlignment="1">
      <alignment horizontal="center" vertical="center"/>
    </xf>
    <xf numFmtId="9" fontId="2" fillId="0" borderId="7" xfId="2" applyFont="1" applyBorder="1" applyAlignment="1">
      <alignment horizontal="center" vertical="center"/>
    </xf>
    <xf numFmtId="9" fontId="2" fillId="0" borderId="8" xfId="2" applyFont="1" applyBorder="1" applyAlignment="1">
      <alignment horizontal="center" vertical="center"/>
    </xf>
    <xf numFmtId="9" fontId="2" fillId="0" borderId="11" xfId="2" applyFont="1" applyBorder="1" applyAlignment="1">
      <alignment horizontal="center" vertical="center"/>
    </xf>
    <xf numFmtId="9" fontId="2" fillId="0" borderId="9" xfId="2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9" fontId="2" fillId="0" borderId="0" xfId="2" applyFont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0" fillId="0" borderId="0" xfId="0" applyAlignment="1"/>
    <xf numFmtId="0" fontId="8" fillId="0" borderId="0" xfId="0" applyFont="1" applyAlignment="1"/>
    <xf numFmtId="0" fontId="6" fillId="0" borderId="0" xfId="0" applyFont="1" applyAlignment="1"/>
    <xf numFmtId="0" fontId="4" fillId="0" borderId="0" xfId="0" applyFont="1" applyAlignment="1"/>
    <xf numFmtId="0" fontId="6" fillId="0" borderId="7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9" fontId="6" fillId="0" borderId="9" xfId="2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 wrapText="1" shrinkToFit="1"/>
    </xf>
    <xf numFmtId="0" fontId="6" fillId="0" borderId="7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170" fontId="5" fillId="0" borderId="0" xfId="2" applyNumberFormat="1" applyFont="1" applyBorder="1" applyAlignment="1">
      <alignment horizontal="center" vertical="center"/>
    </xf>
    <xf numFmtId="170" fontId="5" fillId="0" borderId="10" xfId="2" applyNumberFormat="1" applyFont="1" applyBorder="1" applyAlignment="1">
      <alignment horizontal="center" vertical="center"/>
    </xf>
    <xf numFmtId="9" fontId="5" fillId="0" borderId="8" xfId="2" applyFont="1" applyBorder="1" applyAlignment="1">
      <alignment horizontal="center" vertical="center"/>
    </xf>
    <xf numFmtId="9" fontId="5" fillId="0" borderId="11" xfId="2" applyFont="1" applyBorder="1" applyAlignment="1">
      <alignment horizontal="center" vertical="center"/>
    </xf>
    <xf numFmtId="10" fontId="5" fillId="0" borderId="8" xfId="0" applyNumberFormat="1" applyFont="1" applyBorder="1" applyAlignment="1">
      <alignment horizontal="center" vertical="center"/>
    </xf>
    <xf numFmtId="10" fontId="5" fillId="0" borderId="11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165" fontId="2" fillId="0" borderId="7" xfId="1" applyNumberFormat="1" applyFont="1" applyBorder="1" applyAlignment="1">
      <alignment horizontal="center" vertical="center"/>
    </xf>
    <xf numFmtId="165" fontId="2" fillId="0" borderId="7" xfId="0" applyNumberFormat="1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 wrapText="1"/>
    </xf>
    <xf numFmtId="165" fontId="2" fillId="0" borderId="8" xfId="2" applyNumberFormat="1" applyFont="1" applyBorder="1" applyAlignment="1">
      <alignment horizontal="center" vertical="center"/>
    </xf>
    <xf numFmtId="165" fontId="2" fillId="0" borderId="5" xfId="2" applyNumberFormat="1" applyFont="1" applyBorder="1" applyAlignment="1">
      <alignment horizontal="center" vertical="center"/>
    </xf>
    <xf numFmtId="165" fontId="2" fillId="0" borderId="0" xfId="2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165" fontId="2" fillId="0" borderId="10" xfId="0" applyNumberFormat="1" applyFont="1" applyBorder="1" applyAlignment="1">
      <alignment horizontal="center" vertical="center"/>
    </xf>
    <xf numFmtId="165" fontId="2" fillId="0" borderId="10" xfId="2" applyNumberFormat="1" applyFont="1" applyBorder="1" applyAlignment="1">
      <alignment horizontal="center" vertical="center"/>
    </xf>
    <xf numFmtId="165" fontId="2" fillId="0" borderId="11" xfId="2" applyNumberFormat="1" applyFont="1" applyBorder="1" applyAlignment="1">
      <alignment horizontal="center" vertical="center"/>
    </xf>
    <xf numFmtId="165" fontId="2" fillId="0" borderId="9" xfId="0" applyNumberFormat="1" applyFont="1" applyBorder="1" applyAlignment="1">
      <alignment horizontal="center" vertical="center"/>
    </xf>
    <xf numFmtId="3" fontId="0" fillId="0" borderId="0" xfId="0" applyNumberFormat="1" applyAlignment="1">
      <alignment wrapText="1"/>
    </xf>
    <xf numFmtId="165" fontId="2" fillId="0" borderId="8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165" fontId="2" fillId="0" borderId="11" xfId="0" applyNumberFormat="1" applyFont="1" applyBorder="1" applyAlignment="1">
      <alignment horizontal="center" vertical="center"/>
    </xf>
    <xf numFmtId="164" fontId="2" fillId="0" borderId="0" xfId="0" applyNumberFormat="1" applyFont="1" applyBorder="1" applyAlignment="1">
      <alignment horizontal="center" vertical="center"/>
    </xf>
    <xf numFmtId="165" fontId="2" fillId="0" borderId="0" xfId="0" applyNumberFormat="1" applyFont="1" applyBorder="1" applyAlignment="1">
      <alignment horizontal="center" vertical="center"/>
    </xf>
    <xf numFmtId="0" fontId="0" fillId="0" borderId="0" xfId="0" applyBorder="1"/>
    <xf numFmtId="0" fontId="0" fillId="0" borderId="5" xfId="0" applyBorder="1"/>
    <xf numFmtId="164" fontId="2" fillId="0" borderId="0" xfId="0" applyNumberFormat="1" applyFont="1" applyBorder="1" applyAlignment="1">
      <alignment horizontal="center" vertical="center" wrapText="1"/>
    </xf>
    <xf numFmtId="0" fontId="2" fillId="0" borderId="17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/>
    </xf>
    <xf numFmtId="3" fontId="2" fillId="0" borderId="30" xfId="0" quotePrefix="1" applyNumberFormat="1" applyFont="1" applyBorder="1" applyAlignment="1">
      <alignment horizontal="center" vertical="center"/>
    </xf>
    <xf numFmtId="3" fontId="2" fillId="0" borderId="5" xfId="0" applyNumberFormat="1" applyFont="1" applyBorder="1" applyAlignment="1">
      <alignment horizontal="center" vertical="center"/>
    </xf>
    <xf numFmtId="3" fontId="2" fillId="0" borderId="7" xfId="0" quotePrefix="1" applyNumberFormat="1" applyFont="1" applyBorder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9" fontId="2" fillId="0" borderId="31" xfId="2" applyFont="1" applyFill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3" fontId="2" fillId="0" borderId="22" xfId="0" applyNumberFormat="1" applyFont="1" applyBorder="1" applyAlignment="1">
      <alignment horizontal="center" vertical="center"/>
    </xf>
    <xf numFmtId="3" fontId="2" fillId="0" borderId="7" xfId="0" applyNumberFormat="1" applyFont="1" applyBorder="1" applyAlignment="1">
      <alignment horizontal="center" vertical="center"/>
    </xf>
    <xf numFmtId="170" fontId="2" fillId="0" borderId="8" xfId="2" applyNumberFormat="1" applyFont="1" applyBorder="1" applyAlignment="1">
      <alignment horizontal="center" vertical="center"/>
    </xf>
    <xf numFmtId="170" fontId="2" fillId="0" borderId="23" xfId="2" applyNumberFormat="1" applyFont="1" applyFill="1" applyBorder="1" applyAlignment="1">
      <alignment horizontal="center" vertical="center"/>
    </xf>
    <xf numFmtId="0" fontId="2" fillId="0" borderId="22" xfId="0" quotePrefix="1" applyFont="1" applyBorder="1" applyAlignment="1">
      <alignment horizontal="center" vertical="center"/>
    </xf>
    <xf numFmtId="0" fontId="2" fillId="0" borderId="7" xfId="0" quotePrefix="1" applyFont="1" applyBorder="1" applyAlignment="1">
      <alignment horizontal="center" vertical="center"/>
    </xf>
    <xf numFmtId="3" fontId="2" fillId="0" borderId="0" xfId="0" quotePrefix="1" applyNumberFormat="1" applyFont="1" applyAlignment="1">
      <alignment horizontal="center" vertical="center"/>
    </xf>
    <xf numFmtId="171" fontId="2" fillId="0" borderId="22" xfId="0" quotePrefix="1" applyNumberFormat="1" applyFont="1" applyBorder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2" fillId="0" borderId="23" xfId="2" applyNumberFormat="1" applyFont="1" applyFill="1" applyBorder="1" applyAlignment="1">
      <alignment horizontal="center" vertical="center"/>
    </xf>
    <xf numFmtId="9" fontId="2" fillId="0" borderId="23" xfId="2" applyFont="1" applyFill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2" xfId="0" quotePrefix="1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4" xfId="2" quotePrefix="1" applyNumberFormat="1" applyFont="1" applyBorder="1" applyAlignment="1">
      <alignment horizontal="center" vertical="center"/>
    </xf>
    <xf numFmtId="170" fontId="2" fillId="0" borderId="35" xfId="2" applyNumberFormat="1" applyFont="1" applyBorder="1" applyAlignment="1">
      <alignment horizontal="center" vertical="center"/>
    </xf>
    <xf numFmtId="0" fontId="2" fillId="0" borderId="33" xfId="0" quotePrefix="1" applyFont="1" applyBorder="1" applyAlignment="1">
      <alignment horizontal="center" vertical="center"/>
    </xf>
    <xf numFmtId="9" fontId="2" fillId="0" borderId="36" xfId="2" applyFont="1" applyFill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170" fontId="2" fillId="0" borderId="8" xfId="0" applyNumberFormat="1" applyFont="1" applyBorder="1" applyAlignment="1">
      <alignment horizontal="center" vertical="center"/>
    </xf>
    <xf numFmtId="3" fontId="2" fillId="0" borderId="8" xfId="0" applyNumberFormat="1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left" vertical="center"/>
    </xf>
    <xf numFmtId="3" fontId="2" fillId="0" borderId="40" xfId="0" applyNumberFormat="1" applyFont="1" applyBorder="1" applyAlignment="1">
      <alignment horizontal="center" vertical="center"/>
    </xf>
    <xf numFmtId="170" fontId="2" fillId="0" borderId="23" xfId="2" applyNumberFormat="1" applyFont="1" applyBorder="1" applyAlignment="1">
      <alignment horizontal="center" vertical="center"/>
    </xf>
    <xf numFmtId="9" fontId="2" fillId="0" borderId="23" xfId="2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9" fontId="2" fillId="0" borderId="8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170" fontId="2" fillId="0" borderId="0" xfId="2" applyNumberFormat="1" applyFont="1" applyBorder="1" applyAlignment="1">
      <alignment horizontal="center"/>
    </xf>
    <xf numFmtId="170" fontId="2" fillId="0" borderId="8" xfId="2" applyNumberFormat="1" applyFont="1" applyFill="1" applyBorder="1" applyAlignment="1">
      <alignment horizontal="center" vertical="center"/>
    </xf>
    <xf numFmtId="9" fontId="2" fillId="0" borderId="8" xfId="2" applyFont="1" applyFill="1" applyBorder="1" applyAlignment="1">
      <alignment horizontal="center" vertical="center"/>
    </xf>
    <xf numFmtId="0" fontId="2" fillId="0" borderId="50" xfId="0" applyFont="1" applyBorder="1" applyAlignment="1">
      <alignment horizontal="left" vertical="center"/>
    </xf>
    <xf numFmtId="0" fontId="2" fillId="0" borderId="25" xfId="0" applyFont="1" applyBorder="1" applyAlignment="1">
      <alignment horizontal="center" vertical="center"/>
    </xf>
    <xf numFmtId="170" fontId="2" fillId="0" borderId="14" xfId="0" applyNumberFormat="1" applyFont="1" applyBorder="1" applyAlignment="1">
      <alignment horizontal="center" vertical="center"/>
    </xf>
    <xf numFmtId="170" fontId="2" fillId="0" borderId="12" xfId="2" applyNumberFormat="1" applyFont="1" applyBorder="1" applyAlignment="1">
      <alignment horizontal="center" vertical="center"/>
    </xf>
    <xf numFmtId="9" fontId="2" fillId="0" borderId="26" xfId="2" applyFont="1" applyFill="1" applyBorder="1" applyAlignment="1">
      <alignment horizontal="center" vertical="center"/>
    </xf>
    <xf numFmtId="0" fontId="0" fillId="0" borderId="12" xfId="0" applyBorder="1"/>
    <xf numFmtId="0" fontId="3" fillId="0" borderId="41" xfId="0" applyFont="1" applyBorder="1" applyAlignment="1">
      <alignment horizontal="left" vertical="center"/>
    </xf>
    <xf numFmtId="0" fontId="2" fillId="0" borderId="51" xfId="0" applyFont="1" applyBorder="1" applyAlignment="1">
      <alignment horizontal="center"/>
    </xf>
    <xf numFmtId="168" fontId="2" fillId="0" borderId="52" xfId="0" applyNumberFormat="1" applyFont="1" applyBorder="1" applyAlignment="1">
      <alignment horizontal="center"/>
    </xf>
    <xf numFmtId="168" fontId="2" fillId="0" borderId="53" xfId="0" applyNumberFormat="1" applyFont="1" applyBorder="1" applyAlignment="1">
      <alignment horizontal="center"/>
    </xf>
    <xf numFmtId="168" fontId="2" fillId="0" borderId="54" xfId="0" applyNumberFormat="1" applyFont="1" applyBorder="1" applyAlignment="1">
      <alignment horizontal="center"/>
    </xf>
    <xf numFmtId="0" fontId="2" fillId="0" borderId="51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168" fontId="2" fillId="0" borderId="33" xfId="0" applyNumberFormat="1" applyFont="1" applyBorder="1" applyAlignment="1">
      <alignment horizontal="center"/>
    </xf>
    <xf numFmtId="168" fontId="2" fillId="0" borderId="35" xfId="0" applyNumberFormat="1" applyFont="1" applyBorder="1" applyAlignment="1">
      <alignment horizontal="center"/>
    </xf>
    <xf numFmtId="168" fontId="2" fillId="0" borderId="34" xfId="0" applyNumberFormat="1" applyFont="1" applyBorder="1" applyAlignment="1">
      <alignment horizontal="center"/>
    </xf>
    <xf numFmtId="168" fontId="2" fillId="0" borderId="36" xfId="0" applyNumberFormat="1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170" fontId="2" fillId="0" borderId="0" xfId="0" applyNumberFormat="1" applyFont="1" applyAlignment="1">
      <alignment horizontal="center" vertical="center"/>
    </xf>
    <xf numFmtId="9" fontId="2" fillId="0" borderId="0" xfId="2" applyFont="1" applyFill="1" applyBorder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/>
    </xf>
    <xf numFmtId="4" fontId="2" fillId="0" borderId="7" xfId="0" applyNumberFormat="1" applyFont="1" applyBorder="1" applyAlignment="1">
      <alignment horizontal="center" vertical="center"/>
    </xf>
    <xf numFmtId="170" fontId="2" fillId="0" borderId="0" xfId="2" applyNumberFormat="1" applyFont="1" applyFill="1" applyBorder="1" applyAlignment="1">
      <alignment horizontal="center" vertical="center"/>
    </xf>
    <xf numFmtId="0" fontId="2" fillId="0" borderId="13" xfId="0" applyFont="1" applyBorder="1" applyAlignment="1">
      <alignment horizontal="left" vertical="center"/>
    </xf>
    <xf numFmtId="9" fontId="2" fillId="0" borderId="14" xfId="0" applyNumberFormat="1" applyFont="1" applyBorder="1" applyAlignment="1">
      <alignment horizontal="center" vertical="center"/>
    </xf>
    <xf numFmtId="0" fontId="2" fillId="0" borderId="55" xfId="0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/>
    </xf>
    <xf numFmtId="170" fontId="2" fillId="0" borderId="6" xfId="2" applyNumberFormat="1" applyFont="1" applyFill="1" applyBorder="1" applyAlignment="1">
      <alignment horizontal="center" vertical="center"/>
    </xf>
    <xf numFmtId="3" fontId="2" fillId="0" borderId="6" xfId="0" applyNumberFormat="1" applyFont="1" applyBorder="1" applyAlignment="1">
      <alignment horizontal="center" vertical="center"/>
    </xf>
    <xf numFmtId="0" fontId="2" fillId="0" borderId="41" xfId="0" applyFont="1" applyBorder="1" applyAlignment="1">
      <alignment horizontal="left" vertical="center"/>
    </xf>
    <xf numFmtId="170" fontId="2" fillId="0" borderId="35" xfId="0" applyNumberFormat="1" applyFont="1" applyBorder="1" applyAlignment="1">
      <alignment horizontal="center" vertical="center"/>
    </xf>
    <xf numFmtId="9" fontId="2" fillId="0" borderId="14" xfId="2" applyFont="1" applyFill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170" fontId="2" fillId="0" borderId="14" xfId="2" applyNumberFormat="1" applyFont="1" applyFill="1" applyBorder="1" applyAlignment="1">
      <alignment horizontal="center" vertical="center"/>
    </xf>
    <xf numFmtId="0" fontId="2" fillId="0" borderId="56" xfId="0" applyFont="1" applyBorder="1" applyAlignment="1">
      <alignment horizontal="center"/>
    </xf>
    <xf numFmtId="0" fontId="2" fillId="0" borderId="56" xfId="0" applyFont="1" applyBorder="1" applyAlignment="1">
      <alignment horizontal="center" vertical="center"/>
    </xf>
    <xf numFmtId="2" fontId="2" fillId="0" borderId="52" xfId="0" applyNumberFormat="1" applyFont="1" applyBorder="1" applyAlignment="1">
      <alignment horizontal="center"/>
    </xf>
    <xf numFmtId="2" fontId="2" fillId="0" borderId="53" xfId="0" applyNumberFormat="1" applyFont="1" applyBorder="1" applyAlignment="1">
      <alignment horizontal="center"/>
    </xf>
    <xf numFmtId="0" fontId="0" fillId="0" borderId="11" xfId="0" applyBorder="1"/>
    <xf numFmtId="9" fontId="2" fillId="0" borderId="11" xfId="0" applyNumberFormat="1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170" fontId="2" fillId="0" borderId="33" xfId="2" applyNumberFormat="1" applyFont="1" applyBorder="1" applyAlignment="1">
      <alignment horizontal="center" vertical="center"/>
    </xf>
    <xf numFmtId="0" fontId="2" fillId="0" borderId="51" xfId="0" applyFont="1" applyBorder="1" applyAlignment="1">
      <alignment vertical="center"/>
    </xf>
    <xf numFmtId="168" fontId="2" fillId="0" borderId="52" xfId="0" applyNumberFormat="1" applyFont="1" applyBorder="1" applyAlignment="1">
      <alignment horizontal="center" vertical="center"/>
    </xf>
    <xf numFmtId="168" fontId="2" fillId="0" borderId="53" xfId="0" applyNumberFormat="1" applyFont="1" applyBorder="1" applyAlignment="1">
      <alignment horizontal="center" vertical="center"/>
    </xf>
    <xf numFmtId="3" fontId="2" fillId="0" borderId="38" xfId="0" applyNumberFormat="1" applyFont="1" applyBorder="1" applyAlignment="1">
      <alignment horizontal="center" vertical="center"/>
    </xf>
    <xf numFmtId="9" fontId="2" fillId="0" borderId="35" xfId="0" applyNumberFormat="1" applyFont="1" applyBorder="1" applyAlignment="1">
      <alignment horizontal="center" vertical="center"/>
    </xf>
    <xf numFmtId="9" fontId="2" fillId="0" borderId="33" xfId="2" applyFont="1" applyBorder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0" fontId="2" fillId="0" borderId="7" xfId="2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3" fillId="0" borderId="25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2" fillId="0" borderId="57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170" fontId="2" fillId="0" borderId="6" xfId="0" applyNumberFormat="1" applyFont="1" applyBorder="1" applyAlignment="1">
      <alignment horizontal="center" vertical="center"/>
    </xf>
    <xf numFmtId="3" fontId="2" fillId="0" borderId="4" xfId="0" applyNumberFormat="1" applyFont="1" applyBorder="1" applyAlignment="1">
      <alignment horizontal="center"/>
    </xf>
    <xf numFmtId="170" fontId="2" fillId="0" borderId="6" xfId="2" applyNumberFormat="1" applyFont="1" applyBorder="1" applyAlignment="1">
      <alignment horizontal="center" vertical="center"/>
    </xf>
    <xf numFmtId="3" fontId="2" fillId="0" borderId="4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3" fontId="2" fillId="0" borderId="7" xfId="0" applyNumberFormat="1" applyFont="1" applyBorder="1" applyAlignment="1">
      <alignment horizontal="center"/>
    </xf>
    <xf numFmtId="9" fontId="2" fillId="0" borderId="7" xfId="2" applyFont="1" applyFill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/>
    </xf>
    <xf numFmtId="170" fontId="2" fillId="0" borderId="14" xfId="2" applyNumberFormat="1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172" fontId="2" fillId="0" borderId="58" xfId="0" applyNumberFormat="1" applyFont="1" applyBorder="1" applyAlignment="1">
      <alignment horizontal="center" vertical="center"/>
    </xf>
    <xf numFmtId="172" fontId="2" fillId="0" borderId="59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9" fontId="2" fillId="0" borderId="0" xfId="2" applyFont="1" applyFill="1" applyBorder="1" applyAlignment="1">
      <alignment horizontal="center"/>
    </xf>
    <xf numFmtId="11" fontId="2" fillId="0" borderId="0" xfId="0" applyNumberFormat="1" applyFont="1" applyAlignment="1">
      <alignment horizontal="center" vertical="center"/>
    </xf>
    <xf numFmtId="0" fontId="2" fillId="0" borderId="0" xfId="2" applyNumberFormat="1" applyFont="1" applyBorder="1" applyAlignment="1">
      <alignment horizontal="center" vertical="center"/>
    </xf>
    <xf numFmtId="0" fontId="2" fillId="0" borderId="7" xfId="2" applyNumberFormat="1" applyFont="1" applyBorder="1" applyAlignment="1">
      <alignment horizontal="center" vertical="center"/>
    </xf>
    <xf numFmtId="3" fontId="2" fillId="0" borderId="0" xfId="2" applyNumberFormat="1" applyFont="1" applyBorder="1" applyAlignment="1">
      <alignment horizontal="center" vertical="center"/>
    </xf>
    <xf numFmtId="3" fontId="2" fillId="0" borderId="7" xfId="2" applyNumberFormat="1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2" fillId="0" borderId="13" xfId="2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9" fontId="2" fillId="0" borderId="26" xfId="2" applyFont="1" applyFill="1" applyBorder="1" applyAlignment="1">
      <alignment horizontal="center"/>
    </xf>
    <xf numFmtId="0" fontId="2" fillId="0" borderId="40" xfId="0" applyFont="1" applyBorder="1" applyAlignment="1">
      <alignment horizontal="center"/>
    </xf>
    <xf numFmtId="9" fontId="2" fillId="0" borderId="12" xfId="2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168" fontId="2" fillId="0" borderId="33" xfId="0" applyNumberFormat="1" applyFont="1" applyBorder="1" applyAlignment="1">
      <alignment horizontal="center" vertical="center"/>
    </xf>
    <xf numFmtId="168" fontId="2" fillId="0" borderId="35" xfId="0" applyNumberFormat="1" applyFont="1" applyBorder="1" applyAlignment="1">
      <alignment horizontal="center" vertical="center"/>
    </xf>
    <xf numFmtId="0" fontId="0" fillId="0" borderId="49" xfId="0" applyBorder="1"/>
    <xf numFmtId="0" fontId="2" fillId="0" borderId="2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9" fontId="2" fillId="0" borderId="6" xfId="2" applyFont="1" applyFill="1" applyBorder="1" applyAlignment="1">
      <alignment horizontal="center" vertical="center"/>
    </xf>
    <xf numFmtId="9" fontId="2" fillId="0" borderId="8" xfId="2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9" fontId="2" fillId="0" borderId="6" xfId="2" applyFont="1" applyFill="1" applyBorder="1" applyAlignment="1">
      <alignment horizontal="center"/>
    </xf>
    <xf numFmtId="170" fontId="2" fillId="0" borderId="31" xfId="2" applyNumberFormat="1" applyFont="1" applyFill="1" applyBorder="1" applyAlignment="1">
      <alignment horizontal="center" vertical="center"/>
    </xf>
    <xf numFmtId="0" fontId="11" fillId="0" borderId="7" xfId="0" applyFont="1" applyBorder="1" applyAlignment="1">
      <alignment horizontal="left" vertical="center"/>
    </xf>
    <xf numFmtId="9" fontId="2" fillId="0" borderId="23" xfId="2" applyFont="1" applyFill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3" fillId="0" borderId="13" xfId="0" applyFont="1" applyBorder="1" applyAlignment="1">
      <alignment horizontal="left" vertical="center"/>
    </xf>
    <xf numFmtId="0" fontId="2" fillId="0" borderId="25" xfId="0" applyFont="1" applyBorder="1" applyAlignment="1">
      <alignment horizontal="center"/>
    </xf>
    <xf numFmtId="9" fontId="2" fillId="0" borderId="14" xfId="2" applyFont="1" applyFill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168" fontId="2" fillId="0" borderId="56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3" fontId="2" fillId="0" borderId="0" xfId="0" applyNumberFormat="1" applyFont="1" applyAlignment="1">
      <alignment horizontal="center"/>
    </xf>
    <xf numFmtId="0" fontId="2" fillId="0" borderId="31" xfId="0" applyFont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70" fontId="2" fillId="0" borderId="0" xfId="2" applyNumberFormat="1" applyFont="1" applyFill="1" applyAlignment="1">
      <alignment horizontal="center" vertical="center"/>
    </xf>
    <xf numFmtId="9" fontId="2" fillId="0" borderId="23" xfId="0" applyNumberFormat="1" applyFont="1" applyBorder="1" applyAlignment="1">
      <alignment horizontal="center" vertical="center"/>
    </xf>
    <xf numFmtId="0" fontId="2" fillId="0" borderId="34" xfId="0" applyFont="1" applyBorder="1" applyAlignment="1">
      <alignment horizontal="center"/>
    </xf>
    <xf numFmtId="9" fontId="2" fillId="0" borderId="35" xfId="2" applyFont="1" applyFill="1" applyBorder="1" applyAlignment="1">
      <alignment horizontal="center"/>
    </xf>
    <xf numFmtId="0" fontId="2" fillId="0" borderId="36" xfId="0" applyFont="1" applyBorder="1" applyAlignment="1">
      <alignment horizontal="center"/>
    </xf>
    <xf numFmtId="165" fontId="2" fillId="0" borderId="0" xfId="0" applyNumberFormat="1" applyFont="1" applyAlignment="1">
      <alignment horizontal="center" vertical="center"/>
    </xf>
    <xf numFmtId="9" fontId="2" fillId="0" borderId="14" xfId="2" applyFont="1" applyBorder="1" applyAlignment="1">
      <alignment horizontal="center" vertical="center"/>
    </xf>
    <xf numFmtId="0" fontId="2" fillId="0" borderId="60" xfId="0" applyFont="1" applyBorder="1" applyAlignment="1">
      <alignment horizontal="left" vertical="center"/>
    </xf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0F88D-8D55-1942-8706-DD927F047ABB}">
  <dimension ref="A1:L195"/>
  <sheetViews>
    <sheetView topLeftCell="A54" zoomScale="125" workbookViewId="0">
      <selection activeCell="G101" sqref="G101"/>
    </sheetView>
  </sheetViews>
  <sheetFormatPr baseColWidth="10" defaultRowHeight="16"/>
  <cols>
    <col min="1" max="1" width="15.83203125" style="31" customWidth="1"/>
    <col min="2" max="2" width="6.83203125" style="31" customWidth="1"/>
    <col min="3" max="3" width="15.83203125" style="31" customWidth="1"/>
    <col min="4" max="4" width="6.83203125" style="31" customWidth="1"/>
    <col min="5" max="5" width="15.83203125" style="31" customWidth="1"/>
    <col min="6" max="6" width="6.83203125" style="31" customWidth="1"/>
    <col min="7" max="7" width="15.83203125" style="31" customWidth="1"/>
    <col min="8" max="8" width="6.83203125" style="31" customWidth="1"/>
    <col min="9" max="9" width="15.83203125" style="31" customWidth="1"/>
    <col min="10" max="10" width="6.83203125" style="31" customWidth="1"/>
    <col min="11" max="11" width="15.83203125" style="31" customWidth="1"/>
    <col min="12" max="16384" width="10.83203125" style="31"/>
  </cols>
  <sheetData>
    <row r="1" spans="1:10" ht="16" customHeight="1">
      <c r="A1" s="90" t="s">
        <v>123</v>
      </c>
      <c r="B1" s="91"/>
      <c r="C1" s="90" t="s">
        <v>124</v>
      </c>
      <c r="D1" s="91"/>
      <c r="E1" s="90" t="s">
        <v>125</v>
      </c>
      <c r="F1" s="92"/>
      <c r="G1" s="90" t="s">
        <v>126</v>
      </c>
      <c r="H1" s="92"/>
      <c r="I1" s="90" t="s">
        <v>127</v>
      </c>
      <c r="J1" s="92"/>
    </row>
    <row r="2" spans="1:10">
      <c r="A2" s="93"/>
      <c r="B2" s="94"/>
      <c r="C2" s="93"/>
      <c r="D2" s="94"/>
      <c r="E2" s="93"/>
      <c r="F2" s="95"/>
      <c r="G2" s="93"/>
      <c r="H2" s="95"/>
      <c r="I2" s="93"/>
      <c r="J2" s="95"/>
    </row>
    <row r="3" spans="1:10" ht="17" thickBot="1">
      <c r="A3" s="9"/>
      <c r="B3" s="10" t="s">
        <v>144</v>
      </c>
      <c r="C3" s="4"/>
      <c r="D3" s="10" t="s">
        <v>145</v>
      </c>
      <c r="E3" s="4"/>
      <c r="F3" s="19" t="s">
        <v>146</v>
      </c>
      <c r="G3" s="4"/>
      <c r="H3" s="19" t="s">
        <v>147</v>
      </c>
      <c r="I3" s="4"/>
      <c r="J3" s="19" t="s">
        <v>148</v>
      </c>
    </row>
    <row r="4" spans="1:10" ht="17" thickTop="1">
      <c r="A4" s="14" t="s">
        <v>224</v>
      </c>
      <c r="B4" s="15" t="s">
        <v>129</v>
      </c>
      <c r="C4" s="14" t="s">
        <v>224</v>
      </c>
      <c r="D4" s="15" t="s">
        <v>129</v>
      </c>
      <c r="E4" s="14" t="s">
        <v>224</v>
      </c>
      <c r="F4" s="16" t="s">
        <v>129</v>
      </c>
      <c r="G4" s="14" t="s">
        <v>224</v>
      </c>
      <c r="H4" s="16" t="s">
        <v>129</v>
      </c>
      <c r="I4" s="14" t="s">
        <v>224</v>
      </c>
      <c r="J4" s="16" t="s">
        <v>129</v>
      </c>
    </row>
    <row r="5" spans="1:10" ht="28">
      <c r="A5" s="35" t="s">
        <v>306</v>
      </c>
      <c r="B5" s="44" t="s">
        <v>229</v>
      </c>
      <c r="C5" s="35" t="s">
        <v>309</v>
      </c>
      <c r="D5" s="44">
        <v>4.3999999999999997E-2</v>
      </c>
      <c r="E5" s="38" t="s">
        <v>309</v>
      </c>
      <c r="F5" s="46" t="s">
        <v>234</v>
      </c>
      <c r="G5" s="43" t="s">
        <v>313</v>
      </c>
      <c r="H5" s="46" t="s">
        <v>241</v>
      </c>
      <c r="I5" s="38" t="s">
        <v>312</v>
      </c>
      <c r="J5" s="46" t="s">
        <v>245</v>
      </c>
    </row>
    <row r="6" spans="1:10" ht="42">
      <c r="A6" s="41" t="s">
        <v>307</v>
      </c>
      <c r="B6" s="44" t="s">
        <v>230</v>
      </c>
      <c r="C6" s="38" t="s">
        <v>312</v>
      </c>
      <c r="D6" s="44">
        <v>0.08</v>
      </c>
      <c r="E6" s="43" t="s">
        <v>308</v>
      </c>
      <c r="F6" s="46" t="s">
        <v>235</v>
      </c>
      <c r="G6" s="43" t="s">
        <v>321</v>
      </c>
      <c r="H6" s="46" t="s">
        <v>242</v>
      </c>
      <c r="I6" s="43" t="s">
        <v>308</v>
      </c>
      <c r="J6" s="46">
        <v>0.31</v>
      </c>
    </row>
    <row r="7" spans="1:10" ht="42">
      <c r="A7" s="42" t="s">
        <v>308</v>
      </c>
      <c r="B7" s="44" t="s">
        <v>231</v>
      </c>
      <c r="C7" s="43" t="s">
        <v>308</v>
      </c>
      <c r="D7" s="44">
        <v>0.372</v>
      </c>
      <c r="E7" s="43" t="s">
        <v>317</v>
      </c>
      <c r="F7" s="46" t="s">
        <v>236</v>
      </c>
      <c r="G7" s="43" t="s">
        <v>315</v>
      </c>
      <c r="H7" s="46" t="s">
        <v>243</v>
      </c>
      <c r="I7" s="43" t="s">
        <v>323</v>
      </c>
      <c r="J7" s="46" t="s">
        <v>246</v>
      </c>
    </row>
    <row r="8" spans="1:10" ht="28">
      <c r="A8" s="36" t="s">
        <v>310</v>
      </c>
      <c r="B8" s="44" t="s">
        <v>232</v>
      </c>
      <c r="C8" s="43" t="s">
        <v>313</v>
      </c>
      <c r="D8" s="44">
        <v>0.151</v>
      </c>
      <c r="E8" s="43" t="s">
        <v>313</v>
      </c>
      <c r="F8" s="46" t="s">
        <v>237</v>
      </c>
      <c r="G8" s="38" t="s">
        <v>319</v>
      </c>
      <c r="H8" s="46">
        <v>0.12</v>
      </c>
      <c r="I8" s="38" t="s">
        <v>324</v>
      </c>
      <c r="J8" s="46" t="s">
        <v>247</v>
      </c>
    </row>
    <row r="9" spans="1:10">
      <c r="A9" s="37" t="s">
        <v>311</v>
      </c>
      <c r="B9" s="45" t="s">
        <v>233</v>
      </c>
      <c r="C9" s="38" t="s">
        <v>314</v>
      </c>
      <c r="D9" s="44">
        <v>0.11600000000000001</v>
      </c>
      <c r="E9" s="38" t="s">
        <v>318</v>
      </c>
      <c r="F9" s="46" t="s">
        <v>238</v>
      </c>
      <c r="G9" s="39" t="s">
        <v>322</v>
      </c>
      <c r="H9" s="47" t="s">
        <v>244</v>
      </c>
      <c r="I9" s="38" t="s">
        <v>315</v>
      </c>
      <c r="J9" s="46" t="s">
        <v>248</v>
      </c>
    </row>
    <row r="10" spans="1:10">
      <c r="A10" s="4"/>
      <c r="B10" s="23"/>
      <c r="C10" s="38" t="s">
        <v>315</v>
      </c>
      <c r="D10" s="44">
        <v>0.21199999999999999</v>
      </c>
      <c r="E10" s="38" t="s">
        <v>315</v>
      </c>
      <c r="F10" s="46" t="s">
        <v>239</v>
      </c>
      <c r="G10" s="27"/>
      <c r="H10" s="26"/>
      <c r="I10" s="38" t="s">
        <v>316</v>
      </c>
      <c r="J10" s="46" t="s">
        <v>249</v>
      </c>
    </row>
    <row r="11" spans="1:10">
      <c r="A11" s="4"/>
      <c r="B11" s="23"/>
      <c r="C11" s="39" t="s">
        <v>316</v>
      </c>
      <c r="D11" s="45">
        <v>2.5000000000000001E-2</v>
      </c>
      <c r="E11" s="38" t="s">
        <v>319</v>
      </c>
      <c r="F11" s="46" t="s">
        <v>229</v>
      </c>
      <c r="G11" s="24"/>
      <c r="H11" s="21"/>
      <c r="I11" s="40" t="s">
        <v>319</v>
      </c>
      <c r="J11" s="47" t="s">
        <v>250</v>
      </c>
    </row>
    <row r="12" spans="1:10">
      <c r="A12" s="4"/>
      <c r="B12" s="23"/>
      <c r="C12" s="4"/>
      <c r="D12" s="23"/>
      <c r="E12" s="39" t="s">
        <v>320</v>
      </c>
      <c r="F12" s="47" t="s">
        <v>240</v>
      </c>
      <c r="G12" s="24"/>
      <c r="H12" s="21"/>
      <c r="I12" s="24"/>
      <c r="J12" s="25"/>
    </row>
    <row r="14" spans="1:10">
      <c r="A14" s="90" t="s">
        <v>149</v>
      </c>
      <c r="B14" s="91"/>
      <c r="C14" s="90" t="s">
        <v>150</v>
      </c>
      <c r="D14" s="91"/>
      <c r="E14" s="90" t="s">
        <v>151</v>
      </c>
      <c r="F14" s="91"/>
      <c r="G14" s="90" t="s">
        <v>152</v>
      </c>
      <c r="H14" s="91"/>
      <c r="I14" s="90" t="s">
        <v>153</v>
      </c>
      <c r="J14" s="92"/>
    </row>
    <row r="15" spans="1:10">
      <c r="A15" s="93"/>
      <c r="B15" s="94"/>
      <c r="C15" s="93"/>
      <c r="D15" s="94"/>
      <c r="E15" s="93"/>
      <c r="F15" s="94"/>
      <c r="G15" s="93"/>
      <c r="H15" s="94"/>
      <c r="I15" s="93"/>
      <c r="J15" s="95"/>
    </row>
    <row r="16" spans="1:10" ht="17" thickBot="1">
      <c r="A16" s="9"/>
      <c r="B16" s="10" t="s">
        <v>154</v>
      </c>
      <c r="C16" s="4"/>
      <c r="D16" s="10" t="s">
        <v>155</v>
      </c>
      <c r="E16" s="4"/>
      <c r="F16" s="13" t="s">
        <v>156</v>
      </c>
      <c r="G16" s="4"/>
      <c r="H16" s="13" t="s">
        <v>157</v>
      </c>
      <c r="I16" s="4"/>
      <c r="J16" s="19" t="s">
        <v>158</v>
      </c>
    </row>
    <row r="17" spans="1:10" ht="17" thickTop="1">
      <c r="A17" s="14" t="s">
        <v>224</v>
      </c>
      <c r="B17" s="15" t="s">
        <v>129</v>
      </c>
      <c r="C17" s="14" t="s">
        <v>224</v>
      </c>
      <c r="D17" s="15" t="s">
        <v>129</v>
      </c>
      <c r="E17" s="14" t="s">
        <v>224</v>
      </c>
      <c r="F17" s="16" t="s">
        <v>129</v>
      </c>
      <c r="G17" s="14" t="s">
        <v>224</v>
      </c>
      <c r="H17" s="16" t="s">
        <v>129</v>
      </c>
      <c r="I17" s="14" t="s">
        <v>224</v>
      </c>
      <c r="J17" s="16" t="s">
        <v>129</v>
      </c>
    </row>
    <row r="18" spans="1:10">
      <c r="A18" s="32" t="s">
        <v>225</v>
      </c>
      <c r="B18" s="21">
        <v>0.02</v>
      </c>
      <c r="C18" s="32" t="s">
        <v>330</v>
      </c>
      <c r="D18" s="21" t="s">
        <v>251</v>
      </c>
      <c r="E18" s="32" t="s">
        <v>335</v>
      </c>
      <c r="F18" s="21" t="s">
        <v>259</v>
      </c>
      <c r="G18" s="32" t="s">
        <v>338</v>
      </c>
      <c r="H18" s="21" t="s">
        <v>265</v>
      </c>
      <c r="I18" s="32" t="s">
        <v>339</v>
      </c>
      <c r="J18" s="25" t="s">
        <v>272</v>
      </c>
    </row>
    <row r="19" spans="1:10">
      <c r="A19" s="32" t="s">
        <v>325</v>
      </c>
      <c r="B19" s="21" t="s">
        <v>251</v>
      </c>
      <c r="C19" s="32" t="s">
        <v>331</v>
      </c>
      <c r="D19" s="21" t="s">
        <v>255</v>
      </c>
      <c r="E19" s="32" t="s">
        <v>336</v>
      </c>
      <c r="F19" s="21" t="s">
        <v>260</v>
      </c>
      <c r="G19" s="32" t="s">
        <v>312</v>
      </c>
      <c r="H19" s="21" t="s">
        <v>266</v>
      </c>
      <c r="I19" s="32" t="s">
        <v>340</v>
      </c>
      <c r="J19" s="25" t="s">
        <v>273</v>
      </c>
    </row>
    <row r="20" spans="1:10">
      <c r="A20" s="32" t="s">
        <v>326</v>
      </c>
      <c r="B20" s="21" t="s">
        <v>252</v>
      </c>
      <c r="C20" s="32" t="s">
        <v>332</v>
      </c>
      <c r="D20" s="21">
        <v>0.2</v>
      </c>
      <c r="E20" s="32" t="s">
        <v>337</v>
      </c>
      <c r="F20" s="21" t="s">
        <v>261</v>
      </c>
      <c r="G20" s="32" t="s">
        <v>308</v>
      </c>
      <c r="H20" s="21" t="s">
        <v>267</v>
      </c>
      <c r="I20" s="32" t="s">
        <v>313</v>
      </c>
      <c r="J20" s="25" t="s">
        <v>274</v>
      </c>
    </row>
    <row r="21" spans="1:10">
      <c r="A21" s="32" t="s">
        <v>327</v>
      </c>
      <c r="B21" s="21" t="s">
        <v>253</v>
      </c>
      <c r="C21" s="32" t="s">
        <v>316</v>
      </c>
      <c r="D21" s="21" t="s">
        <v>256</v>
      </c>
      <c r="E21" s="32" t="s">
        <v>327</v>
      </c>
      <c r="F21" s="21" t="s">
        <v>262</v>
      </c>
      <c r="G21" s="32" t="s">
        <v>332</v>
      </c>
      <c r="H21" s="21" t="s">
        <v>268</v>
      </c>
      <c r="I21" s="32" t="s">
        <v>323</v>
      </c>
      <c r="J21" s="25" t="s">
        <v>275</v>
      </c>
    </row>
    <row r="22" spans="1:10">
      <c r="A22" s="32" t="s">
        <v>328</v>
      </c>
      <c r="B22" s="21">
        <v>0.1</v>
      </c>
      <c r="C22" s="32" t="s">
        <v>333</v>
      </c>
      <c r="D22" s="21" t="s">
        <v>257</v>
      </c>
      <c r="E22" s="32" t="s">
        <v>328</v>
      </c>
      <c r="F22" s="21" t="s">
        <v>263</v>
      </c>
      <c r="G22" s="32" t="s">
        <v>327</v>
      </c>
      <c r="H22" s="21" t="s">
        <v>269</v>
      </c>
      <c r="I22" s="32" t="s">
        <v>332</v>
      </c>
      <c r="J22" s="25" t="s">
        <v>276</v>
      </c>
    </row>
    <row r="23" spans="1:10">
      <c r="A23" s="32" t="s">
        <v>329</v>
      </c>
      <c r="B23" s="21" t="s">
        <v>254</v>
      </c>
      <c r="C23" s="32" t="s">
        <v>334</v>
      </c>
      <c r="D23" s="21" t="s">
        <v>258</v>
      </c>
      <c r="E23" s="32" t="s">
        <v>329</v>
      </c>
      <c r="F23" s="21" t="s">
        <v>264</v>
      </c>
      <c r="G23" s="32" t="s">
        <v>334</v>
      </c>
      <c r="H23" s="21" t="s">
        <v>270</v>
      </c>
      <c r="I23" s="32" t="s">
        <v>341</v>
      </c>
      <c r="J23" s="25" t="s">
        <v>277</v>
      </c>
    </row>
    <row r="24" spans="1:10">
      <c r="A24" s="4"/>
      <c r="B24" s="21"/>
      <c r="C24" s="28"/>
      <c r="D24" s="21"/>
      <c r="E24" s="28"/>
      <c r="F24" s="21"/>
      <c r="G24" s="32" t="s">
        <v>329</v>
      </c>
      <c r="H24" s="21" t="s">
        <v>271</v>
      </c>
      <c r="I24" s="32" t="s">
        <v>342</v>
      </c>
      <c r="J24" s="25" t="s">
        <v>278</v>
      </c>
    </row>
    <row r="25" spans="1:10">
      <c r="A25" s="4"/>
      <c r="B25" s="21"/>
      <c r="C25" s="4"/>
      <c r="D25" s="21"/>
      <c r="E25" s="4"/>
      <c r="F25" s="21"/>
      <c r="G25" s="28"/>
      <c r="H25" s="21"/>
      <c r="I25" s="28"/>
      <c r="J25" s="25"/>
    </row>
    <row r="26" spans="1:10">
      <c r="A26" s="4"/>
      <c r="B26" s="21"/>
      <c r="C26" s="4"/>
      <c r="D26" s="21"/>
      <c r="E26" s="4"/>
      <c r="F26" s="21"/>
      <c r="G26" s="28"/>
      <c r="H26" s="21"/>
      <c r="I26" s="28"/>
      <c r="J26" s="25"/>
    </row>
    <row r="27" spans="1:10">
      <c r="A27" s="4"/>
      <c r="B27" s="21"/>
      <c r="C27" s="4"/>
      <c r="D27" s="21"/>
      <c r="E27" s="4"/>
      <c r="F27" s="21"/>
      <c r="G27" s="4"/>
      <c r="H27" s="21"/>
      <c r="I27" s="4"/>
      <c r="J27" s="25"/>
    </row>
    <row r="28" spans="1:10">
      <c r="A28" s="4"/>
      <c r="B28" s="21"/>
      <c r="C28" s="4"/>
      <c r="D28" s="21"/>
      <c r="E28" s="4"/>
      <c r="F28" s="21"/>
      <c r="G28" s="4"/>
      <c r="H28" s="21"/>
      <c r="I28" s="4"/>
      <c r="J28" s="25"/>
    </row>
    <row r="29" spans="1:10">
      <c r="A29" s="4"/>
      <c r="B29" s="21"/>
      <c r="C29" s="4"/>
      <c r="D29" s="21"/>
      <c r="E29" s="4"/>
      <c r="F29" s="21"/>
      <c r="G29" s="4"/>
      <c r="H29" s="21"/>
      <c r="I29" s="4"/>
      <c r="J29" s="25"/>
    </row>
    <row r="30" spans="1:10">
      <c r="A30" s="4"/>
      <c r="B30" s="21"/>
      <c r="C30" s="4"/>
      <c r="D30" s="21"/>
      <c r="E30" s="4"/>
      <c r="F30" s="21"/>
      <c r="G30" s="4"/>
      <c r="H30" s="21"/>
      <c r="I30" s="4"/>
      <c r="J30" s="25"/>
    </row>
    <row r="31" spans="1:10">
      <c r="A31" s="4"/>
      <c r="B31" s="21"/>
      <c r="C31" s="4"/>
      <c r="D31" s="21"/>
      <c r="E31" s="4"/>
      <c r="F31" s="21"/>
      <c r="G31" s="4"/>
      <c r="H31" s="21"/>
      <c r="I31" s="4"/>
      <c r="J31" s="25"/>
    </row>
    <row r="32" spans="1:10">
      <c r="A32" s="6"/>
      <c r="B32" s="22"/>
      <c r="C32" s="6"/>
      <c r="D32" s="22"/>
      <c r="E32" s="6"/>
      <c r="F32" s="22"/>
      <c r="G32" s="6"/>
      <c r="H32" s="22"/>
      <c r="I32" s="6"/>
      <c r="J32" s="26"/>
    </row>
    <row r="33" spans="1:10">
      <c r="A33" s="90" t="s">
        <v>159</v>
      </c>
      <c r="B33" s="91"/>
      <c r="C33" s="90" t="s">
        <v>160</v>
      </c>
      <c r="D33" s="91"/>
      <c r="E33" s="90" t="s">
        <v>161</v>
      </c>
      <c r="F33" s="91"/>
      <c r="G33" s="90" t="s">
        <v>162</v>
      </c>
      <c r="H33" s="91"/>
      <c r="I33" s="90" t="s">
        <v>163</v>
      </c>
      <c r="J33" s="92"/>
    </row>
    <row r="34" spans="1:10">
      <c r="A34" s="93"/>
      <c r="B34" s="94"/>
      <c r="C34" s="93"/>
      <c r="D34" s="94"/>
      <c r="E34" s="93"/>
      <c r="F34" s="94"/>
      <c r="G34" s="93"/>
      <c r="H34" s="94"/>
      <c r="I34" s="93"/>
      <c r="J34" s="95"/>
    </row>
    <row r="35" spans="1:10" ht="17" thickBot="1">
      <c r="A35" s="4"/>
      <c r="B35" s="13" t="s">
        <v>164</v>
      </c>
      <c r="C35" s="4"/>
      <c r="D35" s="13" t="s">
        <v>165</v>
      </c>
      <c r="E35" s="4"/>
      <c r="F35" s="13" t="s">
        <v>166</v>
      </c>
      <c r="G35" s="4"/>
      <c r="H35" s="13" t="s">
        <v>167</v>
      </c>
      <c r="I35" s="4"/>
      <c r="J35" s="19" t="s">
        <v>168</v>
      </c>
    </row>
    <row r="36" spans="1:10" ht="17" thickTop="1">
      <c r="A36" s="14" t="s">
        <v>224</v>
      </c>
      <c r="B36" s="15" t="s">
        <v>129</v>
      </c>
      <c r="C36" s="14" t="s">
        <v>224</v>
      </c>
      <c r="D36" s="15" t="s">
        <v>129</v>
      </c>
      <c r="E36" s="14" t="s">
        <v>224</v>
      </c>
      <c r="F36" s="15" t="s">
        <v>129</v>
      </c>
      <c r="G36" s="14" t="s">
        <v>224</v>
      </c>
      <c r="H36" s="15" t="s">
        <v>129</v>
      </c>
      <c r="I36" s="14" t="s">
        <v>224</v>
      </c>
      <c r="J36" s="16" t="s">
        <v>129</v>
      </c>
    </row>
    <row r="37" spans="1:10">
      <c r="A37" s="32" t="s">
        <v>343</v>
      </c>
      <c r="B37" s="21" t="s">
        <v>279</v>
      </c>
      <c r="C37" s="32" t="s">
        <v>352</v>
      </c>
      <c r="D37" s="21" t="s">
        <v>240</v>
      </c>
      <c r="E37" s="32" t="s">
        <v>330</v>
      </c>
      <c r="F37" s="21" t="s">
        <v>291</v>
      </c>
      <c r="G37" s="32" t="s">
        <v>340</v>
      </c>
      <c r="H37" s="21" t="s">
        <v>296</v>
      </c>
      <c r="I37" s="32" t="s">
        <v>330</v>
      </c>
      <c r="J37" s="25" t="s">
        <v>244</v>
      </c>
    </row>
    <row r="38" spans="1:10">
      <c r="A38" s="32" t="s">
        <v>338</v>
      </c>
      <c r="B38" s="21" t="s">
        <v>280</v>
      </c>
      <c r="C38" s="32" t="s">
        <v>308</v>
      </c>
      <c r="D38" s="21" t="s">
        <v>286</v>
      </c>
      <c r="E38" s="32" t="s">
        <v>308</v>
      </c>
      <c r="F38" s="21" t="s">
        <v>292</v>
      </c>
      <c r="G38" s="32" t="s">
        <v>317</v>
      </c>
      <c r="H38" s="21" t="s">
        <v>297</v>
      </c>
      <c r="I38" s="32" t="s">
        <v>335</v>
      </c>
      <c r="J38" s="25" t="s">
        <v>302</v>
      </c>
    </row>
    <row r="39" spans="1:10">
      <c r="A39" s="32" t="s">
        <v>344</v>
      </c>
      <c r="B39" s="21" t="s">
        <v>230</v>
      </c>
      <c r="C39" s="32" t="s">
        <v>327</v>
      </c>
      <c r="D39" s="21" t="s">
        <v>287</v>
      </c>
      <c r="E39" s="32" t="s">
        <v>313</v>
      </c>
      <c r="F39" s="21" t="s">
        <v>267</v>
      </c>
      <c r="G39" s="32" t="s">
        <v>354</v>
      </c>
      <c r="H39" s="21" t="s">
        <v>298</v>
      </c>
      <c r="I39" s="32" t="s">
        <v>317</v>
      </c>
      <c r="J39" s="25" t="s">
        <v>303</v>
      </c>
    </row>
    <row r="40" spans="1:10">
      <c r="A40" s="32" t="s">
        <v>345</v>
      </c>
      <c r="B40" s="21" t="s">
        <v>256</v>
      </c>
      <c r="C40" s="32" t="s">
        <v>353</v>
      </c>
      <c r="D40" s="21" t="s">
        <v>274</v>
      </c>
      <c r="E40" s="32" t="s">
        <v>354</v>
      </c>
      <c r="F40" s="21" t="s">
        <v>293</v>
      </c>
      <c r="G40" s="32" t="s">
        <v>337</v>
      </c>
      <c r="H40" s="21" t="s">
        <v>299</v>
      </c>
      <c r="I40" s="32" t="s">
        <v>318</v>
      </c>
      <c r="J40" s="25" t="s">
        <v>304</v>
      </c>
    </row>
    <row r="41" spans="1:10">
      <c r="A41" s="32" t="s">
        <v>340</v>
      </c>
      <c r="B41" s="21" t="s">
        <v>281</v>
      </c>
      <c r="C41" s="32" t="s">
        <v>349</v>
      </c>
      <c r="D41" s="21" t="s">
        <v>288</v>
      </c>
      <c r="E41" s="32" t="s">
        <v>320</v>
      </c>
      <c r="F41" s="21" t="s">
        <v>294</v>
      </c>
      <c r="G41" s="32" t="s">
        <v>331</v>
      </c>
      <c r="H41" s="21" t="s">
        <v>300</v>
      </c>
      <c r="I41" s="32" t="s">
        <v>337</v>
      </c>
      <c r="J41" s="25" t="s">
        <v>304</v>
      </c>
    </row>
    <row r="42" spans="1:10">
      <c r="A42" s="32" t="s">
        <v>348</v>
      </c>
      <c r="B42" s="21" t="s">
        <v>282</v>
      </c>
      <c r="C42" s="32" t="s">
        <v>350</v>
      </c>
      <c r="D42" s="21" t="s">
        <v>289</v>
      </c>
      <c r="E42" s="32" t="s">
        <v>334</v>
      </c>
      <c r="F42" s="21" t="s">
        <v>295</v>
      </c>
      <c r="G42" s="32" t="s">
        <v>320</v>
      </c>
      <c r="H42" s="21" t="s">
        <v>256</v>
      </c>
      <c r="I42" s="32" t="s">
        <v>341</v>
      </c>
      <c r="J42" s="25">
        <v>0.11</v>
      </c>
    </row>
    <row r="43" spans="1:10">
      <c r="A43" s="32" t="s">
        <v>346</v>
      </c>
      <c r="B43" s="21" t="s">
        <v>283</v>
      </c>
      <c r="C43" s="32" t="s">
        <v>329</v>
      </c>
      <c r="D43" s="21" t="s">
        <v>290</v>
      </c>
      <c r="E43" s="28"/>
      <c r="F43" s="21"/>
      <c r="G43" s="32" t="s">
        <v>342</v>
      </c>
      <c r="H43" s="21">
        <v>0.13</v>
      </c>
      <c r="I43" s="32" t="s">
        <v>320</v>
      </c>
      <c r="J43" s="25" t="s">
        <v>288</v>
      </c>
    </row>
    <row r="44" spans="1:10">
      <c r="A44" s="32" t="s">
        <v>347</v>
      </c>
      <c r="B44" s="21">
        <v>0.03</v>
      </c>
      <c r="C44" s="28"/>
      <c r="D44" s="21"/>
      <c r="E44" s="4"/>
      <c r="F44" s="21"/>
      <c r="G44" s="32" t="s">
        <v>334</v>
      </c>
      <c r="H44" s="21" t="s">
        <v>301</v>
      </c>
      <c r="I44" s="32" t="s">
        <v>355</v>
      </c>
      <c r="J44" s="25" t="s">
        <v>305</v>
      </c>
    </row>
    <row r="45" spans="1:10">
      <c r="A45" s="32" t="s">
        <v>331</v>
      </c>
      <c r="B45" s="21" t="s">
        <v>249</v>
      </c>
      <c r="C45" s="28"/>
      <c r="D45" s="21"/>
      <c r="E45" s="4"/>
      <c r="F45" s="21"/>
      <c r="G45" s="28"/>
      <c r="H45" s="21"/>
      <c r="I45" s="28"/>
      <c r="J45" s="25"/>
    </row>
    <row r="46" spans="1:10">
      <c r="A46" s="32" t="s">
        <v>349</v>
      </c>
      <c r="B46" s="21">
        <v>0.05</v>
      </c>
      <c r="C46" s="28"/>
      <c r="D46" s="21"/>
      <c r="E46" s="4"/>
      <c r="F46" s="21"/>
      <c r="G46" s="28"/>
      <c r="H46" s="21"/>
      <c r="I46" s="28"/>
      <c r="J46" s="25"/>
    </row>
    <row r="47" spans="1:10">
      <c r="A47" s="32" t="s">
        <v>333</v>
      </c>
      <c r="B47" s="21" t="s">
        <v>284</v>
      </c>
      <c r="C47" s="28"/>
      <c r="D47" s="21"/>
      <c r="E47" s="4"/>
      <c r="F47" s="21"/>
      <c r="G47" s="4"/>
      <c r="H47" s="21"/>
      <c r="I47" s="4"/>
      <c r="J47" s="25"/>
    </row>
    <row r="48" spans="1:10">
      <c r="A48" s="32" t="s">
        <v>351</v>
      </c>
      <c r="B48" s="21" t="s">
        <v>285</v>
      </c>
      <c r="C48" s="4"/>
      <c r="D48" s="21"/>
      <c r="E48" s="4"/>
      <c r="F48" s="21"/>
      <c r="G48" s="4"/>
      <c r="H48" s="21"/>
      <c r="I48" s="4"/>
      <c r="J48" s="25"/>
    </row>
    <row r="49" spans="1:12">
      <c r="A49" s="33"/>
      <c r="B49" s="21"/>
      <c r="C49" s="4"/>
      <c r="D49" s="21"/>
      <c r="E49" s="4"/>
      <c r="F49" s="21"/>
      <c r="G49" s="4"/>
      <c r="H49" s="21"/>
      <c r="I49" s="4"/>
      <c r="J49" s="25"/>
    </row>
    <row r="50" spans="1:12">
      <c r="A50" s="4"/>
      <c r="B50" s="21"/>
      <c r="C50" s="4"/>
      <c r="D50" s="21"/>
      <c r="E50" s="4"/>
      <c r="F50" s="21"/>
      <c r="G50" s="4"/>
      <c r="H50" s="21"/>
      <c r="I50" s="4"/>
      <c r="J50" s="25"/>
    </row>
    <row r="51" spans="1:12">
      <c r="A51" s="6"/>
      <c r="B51" s="22"/>
      <c r="C51" s="6"/>
      <c r="D51" s="22"/>
      <c r="E51" s="6"/>
      <c r="F51" s="22"/>
      <c r="G51" s="6"/>
      <c r="H51" s="22"/>
      <c r="I51" s="6"/>
      <c r="J51" s="26"/>
    </row>
    <row r="55" spans="1:12" ht="16" customHeight="1">
      <c r="A55" s="90" t="s">
        <v>169</v>
      </c>
      <c r="B55" s="91"/>
      <c r="C55" s="90" t="s">
        <v>170</v>
      </c>
      <c r="D55" s="91"/>
      <c r="E55" s="90" t="s">
        <v>171</v>
      </c>
      <c r="F55" s="91"/>
      <c r="G55" s="90" t="s">
        <v>172</v>
      </c>
      <c r="H55" s="91"/>
      <c r="I55" s="90" t="s">
        <v>173</v>
      </c>
      <c r="J55" s="91"/>
      <c r="K55" s="90" t="s">
        <v>371</v>
      </c>
      <c r="L55" s="92"/>
    </row>
    <row r="56" spans="1:12">
      <c r="A56" s="93"/>
      <c r="B56" s="96"/>
      <c r="C56" s="93"/>
      <c r="D56" s="96"/>
      <c r="E56" s="93"/>
      <c r="F56" s="96"/>
      <c r="G56" s="93"/>
      <c r="H56" s="96"/>
      <c r="I56" s="93"/>
      <c r="J56" s="96"/>
      <c r="K56" s="93"/>
      <c r="L56" s="95"/>
    </row>
    <row r="57" spans="1:12" ht="17" thickBot="1">
      <c r="A57" s="9"/>
      <c r="B57" s="10" t="s">
        <v>174</v>
      </c>
      <c r="C57" s="4"/>
      <c r="D57" s="10" t="s">
        <v>175</v>
      </c>
      <c r="E57" s="4"/>
      <c r="F57" s="13" t="s">
        <v>176</v>
      </c>
      <c r="G57" s="4"/>
      <c r="H57" s="13" t="s">
        <v>177</v>
      </c>
      <c r="I57" s="4"/>
      <c r="J57" s="13" t="s">
        <v>178</v>
      </c>
      <c r="K57" s="30"/>
      <c r="L57" s="19" t="s">
        <v>179</v>
      </c>
    </row>
    <row r="58" spans="1:12" ht="17" thickTop="1">
      <c r="A58" s="14" t="s">
        <v>224</v>
      </c>
      <c r="B58" s="15" t="s">
        <v>129</v>
      </c>
      <c r="C58" s="14" t="s">
        <v>224</v>
      </c>
      <c r="D58" s="15" t="s">
        <v>129</v>
      </c>
      <c r="E58" s="14" t="s">
        <v>224</v>
      </c>
      <c r="F58" s="15" t="s">
        <v>129</v>
      </c>
      <c r="G58" s="14" t="s">
        <v>224</v>
      </c>
      <c r="H58" s="15" t="s">
        <v>129</v>
      </c>
      <c r="I58" s="14" t="s">
        <v>224</v>
      </c>
      <c r="J58" s="15" t="s">
        <v>129</v>
      </c>
      <c r="K58" s="14" t="s">
        <v>224</v>
      </c>
      <c r="L58" s="15" t="s">
        <v>129</v>
      </c>
    </row>
    <row r="59" spans="1:12">
      <c r="A59" s="32" t="s">
        <v>308</v>
      </c>
      <c r="B59" s="29" t="s">
        <v>356</v>
      </c>
      <c r="C59" s="32" t="s">
        <v>336</v>
      </c>
      <c r="D59" s="29" t="s">
        <v>359</v>
      </c>
      <c r="E59" s="32" t="s">
        <v>312</v>
      </c>
      <c r="F59" s="29" t="s">
        <v>362</v>
      </c>
      <c r="G59" s="32" t="s">
        <v>379</v>
      </c>
      <c r="H59" s="29" t="s">
        <v>364</v>
      </c>
      <c r="I59" s="32" t="s">
        <v>381</v>
      </c>
      <c r="J59" s="29" t="s">
        <v>263</v>
      </c>
      <c r="K59" s="32" t="s">
        <v>352</v>
      </c>
      <c r="L59" s="25" t="s">
        <v>285</v>
      </c>
    </row>
    <row r="60" spans="1:12">
      <c r="A60" s="32" t="s">
        <v>321</v>
      </c>
      <c r="B60" s="29" t="s">
        <v>357</v>
      </c>
      <c r="C60" s="32" t="s">
        <v>320</v>
      </c>
      <c r="D60" s="29" t="s">
        <v>360</v>
      </c>
      <c r="E60" s="32" t="s">
        <v>324</v>
      </c>
      <c r="F60" s="29" t="s">
        <v>363</v>
      </c>
      <c r="G60" s="32" t="s">
        <v>312</v>
      </c>
      <c r="H60" s="29" t="s">
        <v>266</v>
      </c>
      <c r="I60" s="32" t="s">
        <v>382</v>
      </c>
      <c r="J60" s="29" t="s">
        <v>261</v>
      </c>
      <c r="K60" s="32" t="s">
        <v>336</v>
      </c>
      <c r="L60" s="25" t="s">
        <v>372</v>
      </c>
    </row>
    <row r="61" spans="1:12">
      <c r="A61" s="32" t="s">
        <v>328</v>
      </c>
      <c r="B61" s="29" t="s">
        <v>358</v>
      </c>
      <c r="C61" s="32" t="s">
        <v>377</v>
      </c>
      <c r="D61" s="29">
        <v>0.51</v>
      </c>
      <c r="E61" s="32" t="s">
        <v>315</v>
      </c>
      <c r="F61" s="29">
        <v>0.2</v>
      </c>
      <c r="G61" s="32" t="s">
        <v>315</v>
      </c>
      <c r="H61" s="29" t="s">
        <v>365</v>
      </c>
      <c r="I61" s="32" t="s">
        <v>312</v>
      </c>
      <c r="J61" s="29" t="s">
        <v>278</v>
      </c>
      <c r="K61" s="32" t="s">
        <v>315</v>
      </c>
      <c r="L61" s="25" t="s">
        <v>373</v>
      </c>
    </row>
    <row r="62" spans="1:12">
      <c r="A62" s="32"/>
      <c r="B62" s="29"/>
      <c r="C62" s="32" t="s">
        <v>350</v>
      </c>
      <c r="D62" s="29" t="s">
        <v>294</v>
      </c>
      <c r="E62" s="32" t="s">
        <v>328</v>
      </c>
      <c r="F62" s="29">
        <v>0.06</v>
      </c>
      <c r="G62" s="32" t="s">
        <v>319</v>
      </c>
      <c r="H62" s="29" t="s">
        <v>237</v>
      </c>
      <c r="I62" s="32" t="s">
        <v>308</v>
      </c>
      <c r="J62" s="29" t="s">
        <v>367</v>
      </c>
      <c r="K62" s="32" t="s">
        <v>316</v>
      </c>
      <c r="L62" s="25" t="s">
        <v>272</v>
      </c>
    </row>
    <row r="63" spans="1:12">
      <c r="A63" s="32"/>
      <c r="B63" s="29"/>
      <c r="C63" s="32" t="s">
        <v>334</v>
      </c>
      <c r="D63" s="29" t="s">
        <v>361</v>
      </c>
      <c r="E63" s="32" t="s">
        <v>378</v>
      </c>
      <c r="F63" s="29" t="s">
        <v>288</v>
      </c>
      <c r="G63" s="32" t="s">
        <v>380</v>
      </c>
      <c r="H63" s="29" t="s">
        <v>285</v>
      </c>
      <c r="I63" s="32" t="s">
        <v>315</v>
      </c>
      <c r="J63" s="29" t="s">
        <v>368</v>
      </c>
      <c r="K63" s="32" t="s">
        <v>319</v>
      </c>
      <c r="L63" s="25" t="s">
        <v>374</v>
      </c>
    </row>
    <row r="64" spans="1:12">
      <c r="A64" s="4"/>
      <c r="B64" s="29"/>
      <c r="C64" s="32"/>
      <c r="D64" s="29"/>
      <c r="E64" s="32"/>
      <c r="F64" s="29"/>
      <c r="G64" s="32" t="s">
        <v>333</v>
      </c>
      <c r="H64" s="29" t="s">
        <v>366</v>
      </c>
      <c r="I64" s="32" t="s">
        <v>383</v>
      </c>
      <c r="J64" s="29" t="s">
        <v>369</v>
      </c>
      <c r="K64" s="32" t="s">
        <v>349</v>
      </c>
      <c r="L64" s="25" t="s">
        <v>375</v>
      </c>
    </row>
    <row r="65" spans="1:12">
      <c r="A65" s="4"/>
      <c r="B65" s="29"/>
      <c r="C65" s="4"/>
      <c r="D65" s="29"/>
      <c r="E65" s="4"/>
      <c r="F65" s="29"/>
      <c r="G65" s="4"/>
      <c r="H65" s="29"/>
      <c r="I65" s="32" t="s">
        <v>316</v>
      </c>
      <c r="J65" s="29" t="s">
        <v>370</v>
      </c>
      <c r="K65" s="32" t="s">
        <v>334</v>
      </c>
      <c r="L65" s="25" t="s">
        <v>376</v>
      </c>
    </row>
    <row r="66" spans="1:12">
      <c r="A66" s="4"/>
      <c r="B66" s="29"/>
      <c r="C66" s="4"/>
      <c r="D66" s="29"/>
      <c r="E66" s="4"/>
      <c r="F66" s="29"/>
      <c r="G66" s="4"/>
      <c r="H66" s="29"/>
      <c r="I66" s="32"/>
      <c r="J66" s="29"/>
      <c r="K66" s="32"/>
      <c r="L66" s="25"/>
    </row>
    <row r="67" spans="1:12">
      <c r="A67" s="4"/>
      <c r="B67" s="29"/>
      <c r="C67" s="4"/>
      <c r="D67" s="29"/>
      <c r="E67" s="4"/>
      <c r="F67" s="29"/>
      <c r="G67" s="4"/>
      <c r="H67" s="29"/>
      <c r="I67" s="4"/>
      <c r="J67" s="29"/>
      <c r="K67" s="32"/>
      <c r="L67" s="25"/>
    </row>
    <row r="68" spans="1:12">
      <c r="A68" s="4"/>
      <c r="B68" s="29"/>
      <c r="C68" s="4"/>
      <c r="D68" s="29"/>
      <c r="E68" s="4"/>
      <c r="F68" s="29"/>
      <c r="G68" s="4"/>
      <c r="H68" s="29"/>
      <c r="I68" s="4"/>
      <c r="J68" s="29"/>
      <c r="K68" s="4"/>
      <c r="L68" s="25"/>
    </row>
    <row r="69" spans="1:12">
      <c r="A69" s="4"/>
      <c r="B69" s="29"/>
      <c r="C69" s="4"/>
      <c r="D69" s="29"/>
      <c r="E69" s="4"/>
      <c r="F69" s="29"/>
      <c r="G69" s="4"/>
      <c r="H69" s="29"/>
      <c r="I69" s="4"/>
      <c r="J69" s="29"/>
      <c r="K69" s="4"/>
      <c r="L69" s="25"/>
    </row>
    <row r="70" spans="1:12">
      <c r="A70" s="4"/>
      <c r="B70" s="29"/>
      <c r="C70" s="4"/>
      <c r="D70" s="29"/>
      <c r="E70" s="4"/>
      <c r="F70" s="29"/>
      <c r="G70" s="4"/>
      <c r="H70" s="29"/>
      <c r="I70" s="4"/>
      <c r="J70" s="29"/>
      <c r="K70" s="4"/>
      <c r="L70" s="25"/>
    </row>
    <row r="71" spans="1:12">
      <c r="A71" s="4"/>
      <c r="B71" s="29"/>
      <c r="C71" s="4"/>
      <c r="D71" s="29"/>
      <c r="E71" s="4"/>
      <c r="F71" s="29"/>
      <c r="G71" s="4"/>
      <c r="H71" s="29"/>
      <c r="I71" s="4"/>
      <c r="J71" s="29"/>
      <c r="K71" s="4"/>
      <c r="L71" s="25"/>
    </row>
    <row r="72" spans="1:12">
      <c r="A72" s="4"/>
      <c r="B72" s="29"/>
      <c r="C72" s="4"/>
      <c r="D72" s="29"/>
      <c r="E72" s="4"/>
      <c r="F72" s="29"/>
      <c r="G72" s="4"/>
      <c r="H72" s="29"/>
      <c r="I72" s="4"/>
      <c r="J72" s="29"/>
      <c r="K72" s="4"/>
      <c r="L72" s="25"/>
    </row>
    <row r="73" spans="1:12">
      <c r="A73" s="6"/>
      <c r="B73" s="7"/>
      <c r="C73" s="6"/>
      <c r="D73" s="7"/>
      <c r="E73" s="6"/>
      <c r="F73" s="7"/>
      <c r="G73" s="6"/>
      <c r="H73" s="7"/>
      <c r="I73" s="6"/>
      <c r="J73" s="7"/>
      <c r="K73" s="6"/>
      <c r="L73" s="18"/>
    </row>
    <row r="76" spans="1:12">
      <c r="A76" s="90" t="s">
        <v>180</v>
      </c>
      <c r="B76" s="92"/>
      <c r="C76" s="20"/>
    </row>
    <row r="77" spans="1:12">
      <c r="A77" s="93"/>
      <c r="B77" s="95"/>
      <c r="C77" s="20"/>
    </row>
    <row r="78" spans="1:12" ht="17" thickBot="1">
      <c r="A78" s="9"/>
      <c r="B78" s="11" t="s">
        <v>181</v>
      </c>
      <c r="C78" s="20"/>
    </row>
    <row r="79" spans="1:12" ht="17" thickTop="1">
      <c r="A79" s="14" t="s">
        <v>224</v>
      </c>
      <c r="B79" s="15" t="s">
        <v>129</v>
      </c>
      <c r="C79" s="20"/>
    </row>
    <row r="80" spans="1:12">
      <c r="A80" s="32" t="s">
        <v>225</v>
      </c>
      <c r="B80" s="48">
        <v>0.105</v>
      </c>
      <c r="C80" s="3"/>
    </row>
    <row r="81" spans="1:3">
      <c r="A81" s="32" t="s">
        <v>226</v>
      </c>
      <c r="B81" s="48">
        <v>0.16500000000000001</v>
      </c>
      <c r="C81" s="3"/>
    </row>
    <row r="82" spans="1:3">
      <c r="A82" s="32" t="s">
        <v>227</v>
      </c>
      <c r="B82" s="48">
        <v>0.47199999999999998</v>
      </c>
      <c r="C82" s="3"/>
    </row>
    <row r="83" spans="1:3">
      <c r="A83" s="32" t="s">
        <v>228</v>
      </c>
      <c r="B83" s="49">
        <v>0.25700000000000001</v>
      </c>
      <c r="C83" s="3"/>
    </row>
    <row r="84" spans="1:3">
      <c r="A84" s="3"/>
      <c r="B84" s="50"/>
      <c r="C84" s="3"/>
    </row>
    <row r="85" spans="1:3">
      <c r="A85" s="3"/>
      <c r="B85" s="3"/>
      <c r="C85" s="3"/>
    </row>
    <row r="86" spans="1:3">
      <c r="A86" s="3"/>
      <c r="B86" s="3"/>
      <c r="C86" s="3"/>
    </row>
    <row r="87" spans="1:3">
      <c r="A87" s="3"/>
      <c r="B87" s="3"/>
      <c r="C87" s="3"/>
    </row>
    <row r="88" spans="1:3">
      <c r="A88" s="3"/>
      <c r="B88" s="3"/>
      <c r="C88" s="3"/>
    </row>
    <row r="89" spans="1:3">
      <c r="A89" s="3"/>
      <c r="B89" s="3"/>
      <c r="C89" s="3"/>
    </row>
    <row r="90" spans="1:3">
      <c r="A90" s="3"/>
      <c r="B90" s="3"/>
      <c r="C90" s="3"/>
    </row>
    <row r="91" spans="1:3">
      <c r="A91" s="3"/>
      <c r="B91" s="3"/>
      <c r="C91" s="3"/>
    </row>
    <row r="92" spans="1:3">
      <c r="A92" s="3"/>
      <c r="B92" s="3"/>
      <c r="C92" s="3"/>
    </row>
    <row r="93" spans="1:3">
      <c r="A93" s="3"/>
      <c r="B93" s="3"/>
      <c r="C93" s="3"/>
    </row>
    <row r="94" spans="1:3">
      <c r="A94" s="3"/>
      <c r="B94" s="3"/>
      <c r="C94" s="3"/>
    </row>
    <row r="97" spans="1:5">
      <c r="A97" s="90" t="s">
        <v>182</v>
      </c>
      <c r="B97" s="91"/>
      <c r="C97" s="90" t="s">
        <v>183</v>
      </c>
      <c r="D97" s="92"/>
      <c r="E97" s="20"/>
    </row>
    <row r="98" spans="1:5">
      <c r="A98" s="93"/>
      <c r="B98" s="94"/>
      <c r="C98" s="93"/>
      <c r="D98" s="95"/>
      <c r="E98" s="20"/>
    </row>
    <row r="99" spans="1:5" ht="17" thickBot="1">
      <c r="A99" s="9"/>
      <c r="B99" s="10" t="s">
        <v>184</v>
      </c>
      <c r="C99" s="4"/>
      <c r="D99" s="11" t="s">
        <v>185</v>
      </c>
      <c r="E99" s="20"/>
    </row>
    <row r="100" spans="1:5" ht="17" thickTop="1">
      <c r="A100" s="14" t="s">
        <v>224</v>
      </c>
      <c r="B100" s="16" t="s">
        <v>129</v>
      </c>
      <c r="C100" s="14" t="s">
        <v>224</v>
      </c>
      <c r="D100" s="16" t="s">
        <v>129</v>
      </c>
      <c r="E100" s="20"/>
    </row>
    <row r="101" spans="1:5">
      <c r="A101" s="32" t="s">
        <v>352</v>
      </c>
      <c r="B101" s="21" t="s">
        <v>384</v>
      </c>
      <c r="C101" s="32" t="s">
        <v>395</v>
      </c>
      <c r="D101" s="25" t="s">
        <v>390</v>
      </c>
      <c r="E101" s="3"/>
    </row>
    <row r="102" spans="1:5">
      <c r="A102" s="32" t="s">
        <v>392</v>
      </c>
      <c r="B102" s="21" t="s">
        <v>385</v>
      </c>
      <c r="C102" s="32" t="s">
        <v>354</v>
      </c>
      <c r="D102" s="25" t="s">
        <v>391</v>
      </c>
      <c r="E102" s="3"/>
    </row>
    <row r="103" spans="1:5">
      <c r="A103" s="32" t="s">
        <v>348</v>
      </c>
      <c r="B103" s="21" t="s">
        <v>386</v>
      </c>
      <c r="D103" s="25"/>
      <c r="E103" s="3"/>
    </row>
    <row r="104" spans="1:5">
      <c r="A104" s="32" t="s">
        <v>317</v>
      </c>
      <c r="B104" s="21" t="s">
        <v>265</v>
      </c>
      <c r="C104" s="4"/>
      <c r="D104" s="25"/>
      <c r="E104" s="3"/>
    </row>
    <row r="105" spans="1:5">
      <c r="A105" s="32" t="s">
        <v>354</v>
      </c>
      <c r="B105" s="21" t="s">
        <v>387</v>
      </c>
      <c r="C105" s="4"/>
      <c r="D105" s="25"/>
      <c r="E105" s="3"/>
    </row>
    <row r="106" spans="1:5">
      <c r="A106" s="32" t="s">
        <v>226</v>
      </c>
      <c r="B106" s="21" t="s">
        <v>388</v>
      </c>
      <c r="C106" s="4"/>
      <c r="D106" s="25"/>
      <c r="E106" s="3"/>
    </row>
    <row r="107" spans="1:5">
      <c r="A107" s="32" t="s">
        <v>393</v>
      </c>
      <c r="B107" s="21" t="s">
        <v>389</v>
      </c>
      <c r="C107" s="4"/>
      <c r="D107" s="25"/>
      <c r="E107" s="3"/>
    </row>
    <row r="108" spans="1:5">
      <c r="A108" s="32" t="s">
        <v>394</v>
      </c>
      <c r="B108" s="21" t="s">
        <v>305</v>
      </c>
      <c r="C108" s="4"/>
      <c r="D108" s="25"/>
      <c r="E108" s="3"/>
    </row>
    <row r="109" spans="1:5">
      <c r="A109" s="4"/>
      <c r="B109" s="21"/>
      <c r="C109" s="4"/>
      <c r="D109" s="25"/>
      <c r="E109" s="3"/>
    </row>
    <row r="110" spans="1:5">
      <c r="A110" s="4"/>
      <c r="B110" s="21"/>
      <c r="C110" s="4"/>
      <c r="D110" s="25"/>
      <c r="E110" s="3"/>
    </row>
    <row r="111" spans="1:5">
      <c r="A111" s="4"/>
      <c r="B111" s="21"/>
      <c r="C111" s="4"/>
      <c r="D111" s="25"/>
      <c r="E111" s="3"/>
    </row>
    <row r="112" spans="1:5">
      <c r="A112" s="4"/>
      <c r="B112" s="21"/>
      <c r="C112" s="4"/>
      <c r="D112" s="25"/>
      <c r="E112" s="3"/>
    </row>
    <row r="113" spans="1:12">
      <c r="A113" s="4"/>
      <c r="B113" s="21"/>
      <c r="C113" s="4"/>
      <c r="D113" s="25"/>
      <c r="E113" s="3"/>
    </row>
    <row r="114" spans="1:12">
      <c r="A114" s="4"/>
      <c r="B114" s="21"/>
      <c r="C114" s="4"/>
      <c r="D114" s="25"/>
      <c r="E114" s="3"/>
    </row>
    <row r="115" spans="1:12">
      <c r="A115" s="6"/>
      <c r="B115" s="22"/>
      <c r="C115" s="6"/>
      <c r="D115" s="26"/>
      <c r="E115" s="3"/>
    </row>
    <row r="118" spans="1:12" ht="16" customHeight="1">
      <c r="A118" s="90" t="s">
        <v>186</v>
      </c>
      <c r="B118" s="91"/>
      <c r="C118" s="90" t="s">
        <v>187</v>
      </c>
      <c r="D118" s="92"/>
      <c r="E118" s="90" t="s">
        <v>188</v>
      </c>
      <c r="F118" s="91"/>
      <c r="G118" s="90" t="s">
        <v>189</v>
      </c>
      <c r="H118" s="91"/>
      <c r="I118" s="90" t="s">
        <v>190</v>
      </c>
      <c r="J118" s="92"/>
      <c r="K118" s="90" t="s">
        <v>415</v>
      </c>
      <c r="L118" s="92"/>
    </row>
    <row r="119" spans="1:12">
      <c r="A119" s="93"/>
      <c r="B119" s="96"/>
      <c r="C119" s="93"/>
      <c r="D119" s="95"/>
      <c r="E119" s="93"/>
      <c r="F119" s="96"/>
      <c r="G119" s="93"/>
      <c r="H119" s="96"/>
      <c r="I119" s="93"/>
      <c r="J119" s="95"/>
      <c r="K119" s="93"/>
      <c r="L119" s="95"/>
    </row>
    <row r="120" spans="1:12" ht="17" thickBot="1">
      <c r="A120" s="9"/>
      <c r="B120" s="10" t="s">
        <v>191</v>
      </c>
      <c r="C120" s="4"/>
      <c r="D120" s="10" t="s">
        <v>192</v>
      </c>
      <c r="E120" s="4"/>
      <c r="F120" s="13" t="s">
        <v>193</v>
      </c>
      <c r="G120" s="4"/>
      <c r="H120" s="13" t="s">
        <v>194</v>
      </c>
      <c r="I120" s="4"/>
      <c r="J120" s="19" t="s">
        <v>195</v>
      </c>
      <c r="K120" s="30"/>
      <c r="L120" s="19" t="s">
        <v>196</v>
      </c>
    </row>
    <row r="121" spans="1:12" ht="17" thickTop="1">
      <c r="A121" s="14" t="s">
        <v>224</v>
      </c>
      <c r="B121" s="16" t="s">
        <v>129</v>
      </c>
      <c r="C121" s="14" t="s">
        <v>224</v>
      </c>
      <c r="D121" s="16" t="s">
        <v>129</v>
      </c>
      <c r="E121" s="14" t="s">
        <v>224</v>
      </c>
      <c r="F121" s="16" t="s">
        <v>129</v>
      </c>
      <c r="G121" s="14" t="s">
        <v>224</v>
      </c>
      <c r="H121" s="16" t="s">
        <v>129</v>
      </c>
      <c r="I121" s="14" t="s">
        <v>224</v>
      </c>
      <c r="J121" s="16" t="s">
        <v>129</v>
      </c>
      <c r="K121" s="14" t="s">
        <v>224</v>
      </c>
      <c r="L121" s="16" t="s">
        <v>129</v>
      </c>
    </row>
    <row r="122" spans="1:12">
      <c r="A122" s="32" t="s">
        <v>348</v>
      </c>
      <c r="B122" s="29" t="s">
        <v>396</v>
      </c>
      <c r="C122" s="32" t="s">
        <v>392</v>
      </c>
      <c r="D122" s="29" t="s">
        <v>387</v>
      </c>
      <c r="E122" s="32" t="s">
        <v>348</v>
      </c>
      <c r="F122" s="29" t="s">
        <v>403</v>
      </c>
      <c r="G122" s="32" t="s">
        <v>440</v>
      </c>
      <c r="H122" s="29" t="s">
        <v>410</v>
      </c>
      <c r="I122" s="32" t="s">
        <v>348</v>
      </c>
      <c r="J122" s="29" t="s">
        <v>266</v>
      </c>
      <c r="K122" s="32" t="s">
        <v>348</v>
      </c>
      <c r="L122" s="25" t="s">
        <v>416</v>
      </c>
    </row>
    <row r="123" spans="1:12">
      <c r="A123" s="32" t="s">
        <v>440</v>
      </c>
      <c r="B123" s="29" t="s">
        <v>397</v>
      </c>
      <c r="C123" s="32" t="s">
        <v>441</v>
      </c>
      <c r="D123" s="29">
        <v>0.14000000000000001</v>
      </c>
      <c r="E123" s="32" t="s">
        <v>440</v>
      </c>
      <c r="F123" s="29" t="s">
        <v>404</v>
      </c>
      <c r="G123" s="32" t="s">
        <v>445</v>
      </c>
      <c r="H123" s="29" t="s">
        <v>411</v>
      </c>
      <c r="I123" s="32" t="s">
        <v>440</v>
      </c>
      <c r="J123" s="29">
        <v>0.51</v>
      </c>
      <c r="K123" s="32" t="s">
        <v>440</v>
      </c>
      <c r="L123" s="25" t="s">
        <v>417</v>
      </c>
    </row>
    <row r="124" spans="1:12">
      <c r="A124" s="32" t="s">
        <v>395</v>
      </c>
      <c r="B124" s="29" t="s">
        <v>398</v>
      </c>
      <c r="C124" s="32" t="s">
        <v>440</v>
      </c>
      <c r="D124" s="29" t="s">
        <v>283</v>
      </c>
      <c r="E124" s="32" t="s">
        <v>442</v>
      </c>
      <c r="F124" s="29" t="s">
        <v>405</v>
      </c>
      <c r="G124" s="32" t="s">
        <v>317</v>
      </c>
      <c r="H124" s="29" t="s">
        <v>412</v>
      </c>
      <c r="I124" s="32" t="s">
        <v>307</v>
      </c>
      <c r="J124" s="29" t="s">
        <v>407</v>
      </c>
      <c r="K124" s="32" t="s">
        <v>442</v>
      </c>
      <c r="L124" s="25" t="s">
        <v>418</v>
      </c>
    </row>
    <row r="125" spans="1:12">
      <c r="A125" s="32" t="s">
        <v>354</v>
      </c>
      <c r="B125" s="29">
        <v>0.19</v>
      </c>
      <c r="C125" s="32" t="s">
        <v>442</v>
      </c>
      <c r="D125" s="29" t="s">
        <v>399</v>
      </c>
      <c r="E125" s="32" t="s">
        <v>317</v>
      </c>
      <c r="F125" s="29" t="s">
        <v>256</v>
      </c>
      <c r="G125" s="32" t="s">
        <v>314</v>
      </c>
      <c r="H125" s="29" t="s">
        <v>413</v>
      </c>
      <c r="I125" s="32" t="s">
        <v>314</v>
      </c>
      <c r="J125" s="29" t="s">
        <v>408</v>
      </c>
      <c r="K125" s="32" t="s">
        <v>395</v>
      </c>
      <c r="L125" s="25" t="s">
        <v>260</v>
      </c>
    </row>
    <row r="126" spans="1:12">
      <c r="A126" s="32"/>
      <c r="B126" s="29"/>
      <c r="C126" s="32" t="s">
        <v>317</v>
      </c>
      <c r="D126" s="29" t="s">
        <v>400</v>
      </c>
      <c r="E126" s="32" t="s">
        <v>354</v>
      </c>
      <c r="F126" s="29" t="s">
        <v>302</v>
      </c>
      <c r="G126" s="32" t="s">
        <v>226</v>
      </c>
      <c r="H126" s="29" t="s">
        <v>299</v>
      </c>
      <c r="I126" s="32" t="s">
        <v>448</v>
      </c>
      <c r="J126" s="29" t="s">
        <v>409</v>
      </c>
      <c r="K126" s="32" t="s">
        <v>443</v>
      </c>
      <c r="L126" s="25" t="s">
        <v>406</v>
      </c>
    </row>
    <row r="127" spans="1:12">
      <c r="A127" s="32"/>
      <c r="B127" s="29"/>
      <c r="C127" s="32" t="s">
        <v>395</v>
      </c>
      <c r="D127" s="29" t="s">
        <v>389</v>
      </c>
      <c r="E127" s="32" t="s">
        <v>314</v>
      </c>
      <c r="F127" s="29" t="s">
        <v>406</v>
      </c>
      <c r="G127" s="32" t="s">
        <v>446</v>
      </c>
      <c r="H127" s="29" t="s">
        <v>296</v>
      </c>
      <c r="I127" s="32"/>
      <c r="J127" s="25"/>
      <c r="K127" s="32"/>
      <c r="L127" s="25"/>
    </row>
    <row r="128" spans="1:12">
      <c r="A128" s="4"/>
      <c r="B128" s="29"/>
      <c r="C128" s="32" t="s">
        <v>354</v>
      </c>
      <c r="D128" s="29" t="s">
        <v>401</v>
      </c>
      <c r="E128" s="32" t="s">
        <v>443</v>
      </c>
      <c r="F128" s="29" t="s">
        <v>258</v>
      </c>
      <c r="G128" s="32" t="s">
        <v>321</v>
      </c>
      <c r="H128" s="29" t="s">
        <v>268</v>
      </c>
      <c r="I128" s="4"/>
      <c r="J128" s="25"/>
      <c r="K128" s="4"/>
      <c r="L128" s="25"/>
    </row>
    <row r="129" spans="1:12">
      <c r="A129" s="4"/>
      <c r="B129" s="29"/>
      <c r="C129" s="32" t="s">
        <v>314</v>
      </c>
      <c r="D129" s="29" t="s">
        <v>385</v>
      </c>
      <c r="E129" s="32"/>
      <c r="F129" s="29"/>
      <c r="G129" s="32" t="s">
        <v>443</v>
      </c>
      <c r="H129" s="29" t="s">
        <v>414</v>
      </c>
      <c r="I129" s="4"/>
      <c r="J129" s="25"/>
      <c r="K129" s="4"/>
      <c r="L129" s="25"/>
    </row>
    <row r="130" spans="1:12">
      <c r="A130" s="4"/>
      <c r="B130" s="29"/>
      <c r="C130" s="32" t="s">
        <v>324</v>
      </c>
      <c r="D130" s="29" t="s">
        <v>261</v>
      </c>
      <c r="E130" s="32"/>
      <c r="F130" s="29"/>
      <c r="G130" s="32" t="s">
        <v>447</v>
      </c>
      <c r="H130" s="29" t="s">
        <v>366</v>
      </c>
      <c r="I130" s="4"/>
      <c r="J130" s="25"/>
      <c r="K130" s="4"/>
      <c r="L130" s="25"/>
    </row>
    <row r="131" spans="1:12">
      <c r="A131" s="4"/>
      <c r="B131" s="29"/>
      <c r="C131" s="32" t="s">
        <v>443</v>
      </c>
      <c r="D131" s="29" t="s">
        <v>402</v>
      </c>
      <c r="E131" s="4"/>
      <c r="F131" s="29"/>
      <c r="G131" s="32"/>
      <c r="H131" s="29"/>
      <c r="I131" s="4"/>
      <c r="J131" s="25"/>
      <c r="K131" s="4"/>
      <c r="L131" s="25"/>
    </row>
    <row r="132" spans="1:12">
      <c r="A132" s="4"/>
      <c r="B132" s="29"/>
      <c r="C132" s="32" t="s">
        <v>444</v>
      </c>
      <c r="D132" s="29" t="s">
        <v>236</v>
      </c>
      <c r="E132" s="4"/>
      <c r="F132" s="29"/>
      <c r="G132" s="4"/>
      <c r="H132" s="29"/>
      <c r="I132" s="4"/>
      <c r="J132" s="25"/>
      <c r="K132" s="4"/>
      <c r="L132" s="25"/>
    </row>
    <row r="133" spans="1:12">
      <c r="A133" s="4"/>
      <c r="B133" s="29"/>
      <c r="C133" s="32"/>
      <c r="D133" s="29"/>
      <c r="E133" s="4"/>
      <c r="F133" s="29"/>
      <c r="G133" s="4"/>
      <c r="H133" s="29"/>
      <c r="I133" s="4"/>
      <c r="J133" s="25"/>
      <c r="K133" s="4"/>
      <c r="L133" s="25"/>
    </row>
    <row r="134" spans="1:12">
      <c r="A134" s="4"/>
      <c r="B134" s="29"/>
      <c r="C134" s="4"/>
      <c r="D134" s="29"/>
      <c r="E134" s="4"/>
      <c r="F134" s="29"/>
      <c r="G134" s="4"/>
      <c r="H134" s="29"/>
      <c r="I134" s="4"/>
      <c r="J134" s="25"/>
      <c r="K134" s="4"/>
      <c r="L134" s="25"/>
    </row>
    <row r="135" spans="1:12">
      <c r="A135" s="4"/>
      <c r="B135" s="29"/>
      <c r="C135" s="4"/>
      <c r="D135" s="29"/>
      <c r="E135" s="4"/>
      <c r="F135" s="29"/>
      <c r="G135" s="4"/>
      <c r="H135" s="29"/>
      <c r="I135" s="4"/>
      <c r="J135" s="25"/>
      <c r="K135" s="4"/>
      <c r="L135" s="25"/>
    </row>
    <row r="136" spans="1:12">
      <c r="A136" s="6"/>
      <c r="B136" s="22"/>
      <c r="C136" s="6"/>
      <c r="D136" s="22"/>
      <c r="E136" s="6"/>
      <c r="F136" s="22"/>
      <c r="G136" s="6"/>
      <c r="H136" s="22"/>
      <c r="I136" s="6"/>
      <c r="J136" s="26"/>
      <c r="K136" s="6"/>
      <c r="L136" s="26"/>
    </row>
    <row r="137" spans="1:12" ht="16" customHeight="1">
      <c r="A137" s="90" t="s">
        <v>197</v>
      </c>
      <c r="B137" s="91"/>
      <c r="C137" s="90" t="s">
        <v>198</v>
      </c>
      <c r="D137" s="92"/>
      <c r="E137" s="90" t="s">
        <v>199</v>
      </c>
      <c r="F137" s="91"/>
      <c r="G137" s="90" t="s">
        <v>200</v>
      </c>
      <c r="H137" s="91"/>
      <c r="I137" s="90" t="s">
        <v>201</v>
      </c>
      <c r="J137" s="91"/>
      <c r="K137" s="91" t="s">
        <v>427</v>
      </c>
      <c r="L137" s="92"/>
    </row>
    <row r="138" spans="1:12">
      <c r="A138" s="93"/>
      <c r="B138" s="96"/>
      <c r="C138" s="93"/>
      <c r="D138" s="95"/>
      <c r="E138" s="93"/>
      <c r="F138" s="96"/>
      <c r="G138" s="93"/>
      <c r="H138" s="96"/>
      <c r="I138" s="93"/>
      <c r="J138" s="96"/>
      <c r="K138" s="96"/>
      <c r="L138" s="95"/>
    </row>
    <row r="139" spans="1:12" ht="17" thickBot="1">
      <c r="A139" s="4"/>
      <c r="B139" s="13" t="s">
        <v>202</v>
      </c>
      <c r="C139" s="4"/>
      <c r="D139" s="13" t="s">
        <v>203</v>
      </c>
      <c r="E139" s="4"/>
      <c r="F139" s="13" t="s">
        <v>204</v>
      </c>
      <c r="G139" s="4"/>
      <c r="H139" s="13" t="s">
        <v>205</v>
      </c>
      <c r="I139" s="4"/>
      <c r="J139" s="13" t="s">
        <v>206</v>
      </c>
      <c r="K139" s="13"/>
      <c r="L139" s="13" t="s">
        <v>207</v>
      </c>
    </row>
    <row r="140" spans="1:12" ht="17" thickTop="1">
      <c r="A140" s="14" t="s">
        <v>224</v>
      </c>
      <c r="B140" s="16" t="s">
        <v>129</v>
      </c>
      <c r="C140" s="14" t="s">
        <v>224</v>
      </c>
      <c r="D140" s="16" t="s">
        <v>129</v>
      </c>
      <c r="E140" s="14" t="s">
        <v>224</v>
      </c>
      <c r="F140" s="16" t="s">
        <v>129</v>
      </c>
      <c r="G140" s="14" t="s">
        <v>224</v>
      </c>
      <c r="H140" s="16" t="s">
        <v>129</v>
      </c>
      <c r="I140" s="14" t="s">
        <v>224</v>
      </c>
      <c r="J140" s="16" t="s">
        <v>129</v>
      </c>
      <c r="K140" s="14" t="s">
        <v>224</v>
      </c>
      <c r="L140" s="16" t="s">
        <v>129</v>
      </c>
    </row>
    <row r="141" spans="1:12">
      <c r="A141" s="32" t="s">
        <v>348</v>
      </c>
      <c r="B141" s="29" t="s">
        <v>419</v>
      </c>
      <c r="C141" s="32" t="s">
        <v>344</v>
      </c>
      <c r="D141" s="29" t="s">
        <v>424</v>
      </c>
      <c r="E141" s="32" t="s">
        <v>392</v>
      </c>
      <c r="F141" s="29" t="s">
        <v>428</v>
      </c>
      <c r="G141" s="32" t="s">
        <v>348</v>
      </c>
      <c r="H141" s="29">
        <v>0.09</v>
      </c>
      <c r="I141" s="32" t="s">
        <v>449</v>
      </c>
      <c r="J141" s="29" t="s">
        <v>434</v>
      </c>
      <c r="K141" s="32" t="s">
        <v>392</v>
      </c>
      <c r="L141" s="25" t="s">
        <v>438</v>
      </c>
    </row>
    <row r="142" spans="1:12">
      <c r="A142" s="32" t="s">
        <v>440</v>
      </c>
      <c r="B142" s="29" t="s">
        <v>420</v>
      </c>
      <c r="C142" s="32" t="s">
        <v>449</v>
      </c>
      <c r="D142" s="29" t="s">
        <v>245</v>
      </c>
      <c r="E142" s="32" t="s">
        <v>451</v>
      </c>
      <c r="F142" s="29" t="s">
        <v>429</v>
      </c>
      <c r="G142" s="32" t="s">
        <v>440</v>
      </c>
      <c r="H142" s="29" t="s">
        <v>432</v>
      </c>
      <c r="I142" s="32" t="s">
        <v>307</v>
      </c>
      <c r="J142" s="29" t="s">
        <v>435</v>
      </c>
      <c r="K142" s="32" t="s">
        <v>308</v>
      </c>
      <c r="L142" s="25">
        <v>0.03</v>
      </c>
    </row>
    <row r="143" spans="1:12">
      <c r="A143" s="32" t="s">
        <v>449</v>
      </c>
      <c r="B143" s="29" t="s">
        <v>421</v>
      </c>
      <c r="C143" s="32" t="s">
        <v>354</v>
      </c>
      <c r="D143" s="29">
        <v>0.03</v>
      </c>
      <c r="E143" s="32" t="s">
        <v>452</v>
      </c>
      <c r="F143" s="29" t="s">
        <v>430</v>
      </c>
      <c r="G143" s="32" t="s">
        <v>453</v>
      </c>
      <c r="H143" s="29" t="s">
        <v>433</v>
      </c>
      <c r="I143" s="32" t="s">
        <v>442</v>
      </c>
      <c r="J143" s="29" t="s">
        <v>244</v>
      </c>
      <c r="K143" s="32" t="s">
        <v>443</v>
      </c>
      <c r="L143" s="25" t="s">
        <v>439</v>
      </c>
    </row>
    <row r="144" spans="1:12">
      <c r="A144" s="32" t="s">
        <v>317</v>
      </c>
      <c r="B144" s="29" t="s">
        <v>396</v>
      </c>
      <c r="C144" s="32" t="s">
        <v>314</v>
      </c>
      <c r="D144" s="29">
        <v>0.12</v>
      </c>
      <c r="E144" s="32" t="s">
        <v>394</v>
      </c>
      <c r="F144" s="29" t="s">
        <v>431</v>
      </c>
      <c r="G144" s="32" t="s">
        <v>317</v>
      </c>
      <c r="H144" s="29" t="s">
        <v>270</v>
      </c>
      <c r="I144" s="32" t="s">
        <v>314</v>
      </c>
      <c r="J144" s="29" t="s">
        <v>436</v>
      </c>
      <c r="K144" s="32" t="s">
        <v>450</v>
      </c>
      <c r="L144" s="25" t="s">
        <v>259</v>
      </c>
    </row>
    <row r="145" spans="1:12">
      <c r="A145" s="32" t="s">
        <v>314</v>
      </c>
      <c r="B145" s="29" t="s">
        <v>422</v>
      </c>
      <c r="C145" s="32" t="s">
        <v>448</v>
      </c>
      <c r="D145" s="29" t="s">
        <v>425</v>
      </c>
      <c r="E145" s="32"/>
      <c r="F145" s="29"/>
      <c r="G145" s="32" t="s">
        <v>314</v>
      </c>
      <c r="H145" s="29" t="s">
        <v>268</v>
      </c>
      <c r="I145" s="32" t="s">
        <v>443</v>
      </c>
      <c r="J145" s="29" t="s">
        <v>284</v>
      </c>
      <c r="K145" s="32" t="s">
        <v>394</v>
      </c>
      <c r="L145" s="25" t="s">
        <v>304</v>
      </c>
    </row>
    <row r="146" spans="1:12">
      <c r="A146" s="32" t="s">
        <v>315</v>
      </c>
      <c r="B146" s="29" t="s">
        <v>423</v>
      </c>
      <c r="C146" s="32" t="s">
        <v>450</v>
      </c>
      <c r="D146" s="29" t="s">
        <v>426</v>
      </c>
      <c r="E146" s="32"/>
      <c r="F146" s="29"/>
      <c r="G146" s="32" t="s">
        <v>446</v>
      </c>
      <c r="H146" s="29" t="s">
        <v>425</v>
      </c>
      <c r="I146" s="32" t="s">
        <v>448</v>
      </c>
      <c r="J146" s="29" t="s">
        <v>437</v>
      </c>
      <c r="K146" s="32" t="s">
        <v>454</v>
      </c>
      <c r="L146" s="25" t="s">
        <v>385</v>
      </c>
    </row>
    <row r="147" spans="1:12">
      <c r="A147" s="32"/>
      <c r="B147" s="29"/>
      <c r="C147" s="32"/>
      <c r="D147" s="29"/>
      <c r="E147" s="4"/>
      <c r="F147" s="29"/>
      <c r="G147" s="32" t="s">
        <v>443</v>
      </c>
      <c r="H147" s="29" t="s">
        <v>421</v>
      </c>
      <c r="I147" s="4"/>
      <c r="J147" s="29"/>
      <c r="K147" s="17"/>
      <c r="L147" s="25"/>
    </row>
    <row r="148" spans="1:12">
      <c r="A148" s="4"/>
      <c r="B148" s="29"/>
      <c r="C148" s="4"/>
      <c r="D148" s="29"/>
      <c r="E148" s="4"/>
      <c r="F148" s="29"/>
      <c r="G148" s="32" t="s">
        <v>337</v>
      </c>
      <c r="H148" s="29" t="s">
        <v>253</v>
      </c>
      <c r="I148" s="4"/>
      <c r="J148" s="29"/>
      <c r="K148" s="17"/>
      <c r="L148" s="25"/>
    </row>
    <row r="149" spans="1:12">
      <c r="A149" s="4"/>
      <c r="B149" s="29"/>
      <c r="C149" s="4"/>
      <c r="D149" s="29"/>
      <c r="E149" s="4"/>
      <c r="F149" s="29"/>
      <c r="G149" s="4"/>
      <c r="H149" s="29"/>
      <c r="I149" s="4"/>
      <c r="J149" s="29"/>
      <c r="K149" s="17"/>
      <c r="L149" s="25"/>
    </row>
    <row r="150" spans="1:12">
      <c r="A150" s="4"/>
      <c r="B150" s="29"/>
      <c r="C150" s="4"/>
      <c r="D150" s="29"/>
      <c r="E150" s="4"/>
      <c r="F150" s="29"/>
      <c r="G150" s="4"/>
      <c r="H150" s="29"/>
      <c r="I150" s="4"/>
      <c r="J150" s="29"/>
      <c r="K150" s="17"/>
      <c r="L150" s="25"/>
    </row>
    <row r="151" spans="1:12">
      <c r="A151" s="4"/>
      <c r="B151" s="29"/>
      <c r="C151" s="4"/>
      <c r="D151" s="29"/>
      <c r="E151" s="4"/>
      <c r="F151" s="29"/>
      <c r="G151" s="4"/>
      <c r="H151" s="29"/>
      <c r="I151" s="4"/>
      <c r="J151" s="29"/>
      <c r="K151" s="17"/>
      <c r="L151" s="25"/>
    </row>
    <row r="152" spans="1:12">
      <c r="A152" s="4"/>
      <c r="B152" s="29"/>
      <c r="C152" s="4"/>
      <c r="D152" s="29"/>
      <c r="E152" s="4"/>
      <c r="F152" s="29"/>
      <c r="G152" s="4"/>
      <c r="H152" s="29"/>
      <c r="I152" s="4"/>
      <c r="J152" s="29"/>
      <c r="K152" s="17"/>
      <c r="L152" s="25"/>
    </row>
    <row r="153" spans="1:12">
      <c r="A153" s="4"/>
      <c r="B153" s="29"/>
      <c r="C153" s="4"/>
      <c r="D153" s="29"/>
      <c r="E153" s="4"/>
      <c r="F153" s="29"/>
      <c r="G153" s="4"/>
      <c r="H153" s="29"/>
      <c r="I153" s="4"/>
      <c r="J153" s="29"/>
      <c r="K153" s="17"/>
      <c r="L153" s="25"/>
    </row>
    <row r="154" spans="1:12">
      <c r="A154" s="4"/>
      <c r="B154" s="29"/>
      <c r="C154" s="4"/>
      <c r="D154" s="29"/>
      <c r="E154" s="4"/>
      <c r="F154" s="29"/>
      <c r="G154" s="4"/>
      <c r="H154" s="29"/>
      <c r="I154" s="4"/>
      <c r="J154" s="29"/>
      <c r="K154" s="17"/>
      <c r="L154" s="25"/>
    </row>
    <row r="155" spans="1:12">
      <c r="A155" s="6"/>
      <c r="B155" s="22"/>
      <c r="C155" s="6"/>
      <c r="D155" s="22"/>
      <c r="E155" s="6"/>
      <c r="F155" s="22"/>
      <c r="G155" s="6"/>
      <c r="H155" s="22"/>
      <c r="I155" s="6"/>
      <c r="J155" s="22"/>
      <c r="K155" s="7"/>
      <c r="L155" s="26"/>
    </row>
    <row r="158" spans="1:12">
      <c r="A158" s="90" t="s">
        <v>208</v>
      </c>
      <c r="B158" s="91"/>
      <c r="C158" s="90" t="s">
        <v>209</v>
      </c>
      <c r="D158" s="92"/>
      <c r="E158" s="90" t="s">
        <v>210</v>
      </c>
      <c r="F158" s="91"/>
      <c r="G158" s="90" t="s">
        <v>211</v>
      </c>
      <c r="H158" s="91"/>
      <c r="I158" s="97"/>
    </row>
    <row r="159" spans="1:12">
      <c r="A159" s="93"/>
      <c r="B159" s="96"/>
      <c r="C159" s="93"/>
      <c r="D159" s="95"/>
      <c r="E159" s="93"/>
      <c r="F159" s="96"/>
      <c r="G159" s="93"/>
      <c r="H159" s="96"/>
      <c r="I159" s="98"/>
    </row>
    <row r="160" spans="1:12" ht="17" thickBot="1">
      <c r="A160" s="9"/>
      <c r="B160" s="10" t="s">
        <v>212</v>
      </c>
      <c r="C160" s="4"/>
      <c r="D160" s="10" t="s">
        <v>213</v>
      </c>
      <c r="E160" s="4"/>
      <c r="F160" s="13" t="s">
        <v>214</v>
      </c>
      <c r="G160" s="4"/>
      <c r="H160" s="13" t="s">
        <v>215</v>
      </c>
      <c r="I160" s="98"/>
    </row>
    <row r="161" spans="1:9" ht="17" thickTop="1">
      <c r="A161" s="14" t="s">
        <v>224</v>
      </c>
      <c r="B161" s="16" t="s">
        <v>129</v>
      </c>
      <c r="C161" s="14" t="s">
        <v>224</v>
      </c>
      <c r="D161" s="16" t="s">
        <v>129</v>
      </c>
      <c r="E161" s="14" t="s">
        <v>224</v>
      </c>
      <c r="F161" s="16" t="s">
        <v>129</v>
      </c>
      <c r="G161" s="14" t="s">
        <v>224</v>
      </c>
      <c r="H161" s="16" t="s">
        <v>129</v>
      </c>
      <c r="I161" s="99"/>
    </row>
    <row r="162" spans="1:9">
      <c r="A162" s="32" t="s">
        <v>392</v>
      </c>
      <c r="B162" s="29" t="s">
        <v>455</v>
      </c>
      <c r="C162" s="32" t="s">
        <v>225</v>
      </c>
      <c r="D162" s="29" t="s">
        <v>439</v>
      </c>
      <c r="E162" s="32" t="s">
        <v>312</v>
      </c>
      <c r="F162" s="29" t="s">
        <v>413</v>
      </c>
      <c r="G162" s="32" t="s">
        <v>339</v>
      </c>
      <c r="H162" s="29" t="s">
        <v>261</v>
      </c>
      <c r="I162" s="5"/>
    </row>
    <row r="163" spans="1:9">
      <c r="A163" s="32" t="s">
        <v>481</v>
      </c>
      <c r="B163" s="29" t="s">
        <v>456</v>
      </c>
      <c r="C163" s="32" t="s">
        <v>482</v>
      </c>
      <c r="D163" s="29" t="s">
        <v>274</v>
      </c>
      <c r="E163" s="32" t="s">
        <v>441</v>
      </c>
      <c r="F163" s="29" t="s">
        <v>462</v>
      </c>
      <c r="G163" s="32" t="s">
        <v>325</v>
      </c>
      <c r="H163" s="29" t="s">
        <v>465</v>
      </c>
      <c r="I163" s="5"/>
    </row>
    <row r="164" spans="1:9">
      <c r="A164" s="32" t="s">
        <v>442</v>
      </c>
      <c r="B164" s="29" t="s">
        <v>457</v>
      </c>
      <c r="C164" s="32" t="s">
        <v>226</v>
      </c>
      <c r="D164" s="29" t="s">
        <v>459</v>
      </c>
      <c r="E164" s="32" t="s">
        <v>482</v>
      </c>
      <c r="F164" s="29" t="s">
        <v>250</v>
      </c>
      <c r="G164" s="32" t="s">
        <v>481</v>
      </c>
      <c r="H164" s="29" t="s">
        <v>466</v>
      </c>
      <c r="I164" s="5"/>
    </row>
    <row r="165" spans="1:9">
      <c r="A165" s="32" t="s">
        <v>443</v>
      </c>
      <c r="B165" s="29" t="s">
        <v>458</v>
      </c>
      <c r="C165" s="32" t="s">
        <v>315</v>
      </c>
      <c r="D165" s="29" t="s">
        <v>460</v>
      </c>
      <c r="E165" s="32" t="s">
        <v>446</v>
      </c>
      <c r="F165" s="29" t="s">
        <v>272</v>
      </c>
      <c r="G165" s="32" t="s">
        <v>446</v>
      </c>
      <c r="H165" s="29" t="s">
        <v>399</v>
      </c>
      <c r="I165" s="5"/>
    </row>
    <row r="166" spans="1:9">
      <c r="A166" s="32" t="s">
        <v>452</v>
      </c>
      <c r="B166" s="29" t="s">
        <v>259</v>
      </c>
      <c r="C166" s="32" t="s">
        <v>380</v>
      </c>
      <c r="D166" s="29" t="s">
        <v>277</v>
      </c>
      <c r="E166" s="32" t="s">
        <v>315</v>
      </c>
      <c r="F166" s="29" t="s">
        <v>463</v>
      </c>
      <c r="G166" s="32" t="s">
        <v>443</v>
      </c>
      <c r="H166" s="29" t="s">
        <v>278</v>
      </c>
      <c r="I166" s="5"/>
    </row>
    <row r="167" spans="1:9">
      <c r="A167" s="32" t="s">
        <v>394</v>
      </c>
      <c r="B167" s="29" t="s">
        <v>230</v>
      </c>
      <c r="C167" s="32" t="s">
        <v>329</v>
      </c>
      <c r="D167" s="29" t="s">
        <v>461</v>
      </c>
      <c r="E167" s="32" t="s">
        <v>483</v>
      </c>
      <c r="F167" s="29" t="s">
        <v>464</v>
      </c>
      <c r="G167" s="32" t="s">
        <v>484</v>
      </c>
      <c r="H167" s="29" t="s">
        <v>405</v>
      </c>
      <c r="I167" s="5"/>
    </row>
    <row r="168" spans="1:9">
      <c r="A168" s="34"/>
      <c r="B168" s="29"/>
      <c r="C168" s="32"/>
      <c r="D168" s="29"/>
      <c r="E168" s="32"/>
      <c r="F168" s="29"/>
      <c r="G168" s="32" t="s">
        <v>346</v>
      </c>
      <c r="H168" s="29">
        <v>0.02</v>
      </c>
      <c r="I168" s="5"/>
    </row>
    <row r="169" spans="1:9">
      <c r="A169" s="4"/>
      <c r="B169" s="29"/>
      <c r="C169" s="4"/>
      <c r="D169" s="29"/>
      <c r="E169" s="4"/>
      <c r="F169" s="29"/>
      <c r="G169" s="32" t="s">
        <v>310</v>
      </c>
      <c r="H169" s="29" t="s">
        <v>458</v>
      </c>
      <c r="I169" s="5"/>
    </row>
    <row r="170" spans="1:9">
      <c r="A170" s="4"/>
      <c r="B170" s="29"/>
      <c r="C170" s="4"/>
      <c r="D170" s="29"/>
      <c r="E170" s="4"/>
      <c r="F170" s="29"/>
      <c r="G170" s="32" t="s">
        <v>327</v>
      </c>
      <c r="H170" s="29" t="s">
        <v>467</v>
      </c>
      <c r="I170" s="5"/>
    </row>
    <row r="171" spans="1:9">
      <c r="A171" s="4"/>
      <c r="B171" s="29"/>
      <c r="C171" s="4"/>
      <c r="D171" s="29"/>
      <c r="E171" s="4"/>
      <c r="F171" s="29"/>
      <c r="G171" s="32" t="s">
        <v>447</v>
      </c>
      <c r="H171" s="29" t="s">
        <v>458</v>
      </c>
      <c r="I171" s="5"/>
    </row>
    <row r="172" spans="1:9">
      <c r="A172" s="4"/>
      <c r="B172" s="29"/>
      <c r="C172" s="4"/>
      <c r="D172" s="29"/>
      <c r="E172" s="4"/>
      <c r="F172" s="29"/>
      <c r="G172" s="32" t="s">
        <v>485</v>
      </c>
      <c r="H172" s="29" t="s">
        <v>423</v>
      </c>
      <c r="I172" s="5"/>
    </row>
    <row r="173" spans="1:9">
      <c r="A173" s="4"/>
      <c r="B173" s="29"/>
      <c r="C173" s="4"/>
      <c r="D173" s="29"/>
      <c r="E173" s="4"/>
      <c r="F173" s="29"/>
      <c r="G173" s="32" t="s">
        <v>328</v>
      </c>
      <c r="H173" s="29" t="s">
        <v>434</v>
      </c>
      <c r="I173" s="5"/>
    </row>
    <row r="174" spans="1:9">
      <c r="A174" s="4"/>
      <c r="B174" s="29"/>
      <c r="C174" s="4"/>
      <c r="D174" s="29"/>
      <c r="E174" s="4"/>
      <c r="F174" s="29"/>
      <c r="G174" s="32" t="s">
        <v>486</v>
      </c>
      <c r="H174" s="29" t="s">
        <v>254</v>
      </c>
      <c r="I174" s="5"/>
    </row>
    <row r="175" spans="1:9">
      <c r="A175" s="4"/>
      <c r="B175" s="29"/>
      <c r="C175" s="4"/>
      <c r="D175" s="29"/>
      <c r="E175" s="4"/>
      <c r="F175" s="29"/>
      <c r="G175" s="4"/>
      <c r="H175" s="29"/>
      <c r="I175" s="5"/>
    </row>
    <row r="176" spans="1:9">
      <c r="A176" s="6"/>
      <c r="B176" s="22"/>
      <c r="C176" s="6"/>
      <c r="D176" s="22"/>
      <c r="E176" s="6"/>
      <c r="F176" s="22"/>
      <c r="G176" s="6"/>
      <c r="H176" s="22"/>
      <c r="I176" s="8"/>
    </row>
    <row r="177" spans="1:9">
      <c r="A177" s="90" t="s">
        <v>216</v>
      </c>
      <c r="B177" s="91"/>
      <c r="C177" s="90" t="s">
        <v>217</v>
      </c>
      <c r="D177" s="92"/>
      <c r="E177" s="90" t="s">
        <v>218</v>
      </c>
      <c r="F177" s="91"/>
      <c r="G177" s="90" t="s">
        <v>219</v>
      </c>
      <c r="H177" s="91"/>
      <c r="I177" s="97"/>
    </row>
    <row r="178" spans="1:9">
      <c r="A178" s="93"/>
      <c r="B178" s="96"/>
      <c r="C178" s="93"/>
      <c r="D178" s="95"/>
      <c r="E178" s="93"/>
      <c r="F178" s="96"/>
      <c r="G178" s="93"/>
      <c r="H178" s="96"/>
      <c r="I178" s="98"/>
    </row>
    <row r="179" spans="1:9" ht="17" thickBot="1">
      <c r="A179" s="4"/>
      <c r="B179" s="13" t="s">
        <v>220</v>
      </c>
      <c r="C179" s="4"/>
      <c r="D179" s="13" t="s">
        <v>221</v>
      </c>
      <c r="E179" s="4"/>
      <c r="F179" s="13" t="s">
        <v>222</v>
      </c>
      <c r="G179" s="4"/>
      <c r="H179" s="13" t="s">
        <v>223</v>
      </c>
      <c r="I179" s="98"/>
    </row>
    <row r="180" spans="1:9" ht="17" thickTop="1">
      <c r="A180" s="14" t="s">
        <v>224</v>
      </c>
      <c r="B180" s="16" t="s">
        <v>129</v>
      </c>
      <c r="C180" s="14" t="s">
        <v>224</v>
      </c>
      <c r="D180" s="16" t="s">
        <v>129</v>
      </c>
      <c r="E180" s="14" t="s">
        <v>224</v>
      </c>
      <c r="F180" s="16" t="s">
        <v>129</v>
      </c>
      <c r="G180" s="14" t="s">
        <v>224</v>
      </c>
      <c r="H180" s="16" t="s">
        <v>129</v>
      </c>
      <c r="I180" s="99"/>
    </row>
    <row r="181" spans="1:9">
      <c r="A181" s="32" t="s">
        <v>440</v>
      </c>
      <c r="B181" s="29" t="s">
        <v>423</v>
      </c>
      <c r="C181" s="32" t="s">
        <v>309</v>
      </c>
      <c r="D181" s="29" t="s">
        <v>468</v>
      </c>
      <c r="E181" s="32" t="s">
        <v>344</v>
      </c>
      <c r="F181" s="29" t="s">
        <v>474</v>
      </c>
      <c r="G181" s="32" t="s">
        <v>225</v>
      </c>
      <c r="H181" s="29" t="s">
        <v>434</v>
      </c>
      <c r="I181" s="5"/>
    </row>
    <row r="182" spans="1:9">
      <c r="A182" s="32" t="s">
        <v>325</v>
      </c>
      <c r="B182" s="29">
        <v>0.13</v>
      </c>
      <c r="C182" s="32" t="s">
        <v>225</v>
      </c>
      <c r="D182" s="29" t="s">
        <v>369</v>
      </c>
      <c r="E182" s="32" t="s">
        <v>325</v>
      </c>
      <c r="F182" s="29">
        <v>0.06</v>
      </c>
      <c r="G182" s="32" t="s">
        <v>496</v>
      </c>
      <c r="H182" s="29" t="s">
        <v>478</v>
      </c>
      <c r="I182" s="5"/>
    </row>
    <row r="183" spans="1:9">
      <c r="A183" s="32" t="s">
        <v>481</v>
      </c>
      <c r="B183" s="29" t="s">
        <v>468</v>
      </c>
      <c r="C183" s="32" t="s">
        <v>442</v>
      </c>
      <c r="D183" s="29" t="s">
        <v>472</v>
      </c>
      <c r="E183" s="32" t="s">
        <v>481</v>
      </c>
      <c r="F183" s="29" t="s">
        <v>367</v>
      </c>
      <c r="G183" s="32" t="s">
        <v>325</v>
      </c>
      <c r="H183" s="29" t="s">
        <v>479</v>
      </c>
      <c r="I183" s="5"/>
    </row>
    <row r="184" spans="1:9">
      <c r="A184" s="32" t="s">
        <v>314</v>
      </c>
      <c r="B184" s="29" t="s">
        <v>236</v>
      </c>
      <c r="C184" s="32" t="s">
        <v>490</v>
      </c>
      <c r="D184" s="29">
        <v>0.15</v>
      </c>
      <c r="E184" s="32" t="s">
        <v>493</v>
      </c>
      <c r="F184" s="29" t="s">
        <v>475</v>
      </c>
      <c r="G184" s="32" t="s">
        <v>493</v>
      </c>
      <c r="H184" s="29" t="s">
        <v>274</v>
      </c>
      <c r="I184" s="5"/>
    </row>
    <row r="185" spans="1:9">
      <c r="A185" s="32" t="s">
        <v>443</v>
      </c>
      <c r="B185" s="29" t="s">
        <v>461</v>
      </c>
      <c r="C185" s="32" t="s">
        <v>491</v>
      </c>
      <c r="D185" s="29" t="s">
        <v>411</v>
      </c>
      <c r="E185" s="32" t="s">
        <v>346</v>
      </c>
      <c r="F185" s="29" t="s">
        <v>458</v>
      </c>
      <c r="G185" s="32" t="s">
        <v>310</v>
      </c>
      <c r="H185" s="29" t="s">
        <v>470</v>
      </c>
      <c r="I185" s="5"/>
    </row>
    <row r="186" spans="1:9">
      <c r="A186" s="32" t="s">
        <v>327</v>
      </c>
      <c r="B186" s="29" t="s">
        <v>266</v>
      </c>
      <c r="C186" s="32" t="s">
        <v>310</v>
      </c>
      <c r="D186" s="29" t="s">
        <v>284</v>
      </c>
      <c r="E186" s="32" t="s">
        <v>494</v>
      </c>
      <c r="F186" s="29" t="s">
        <v>476</v>
      </c>
      <c r="G186" s="32" t="s">
        <v>327</v>
      </c>
      <c r="H186" s="29" t="s">
        <v>480</v>
      </c>
      <c r="I186" s="5"/>
    </row>
    <row r="187" spans="1:9">
      <c r="A187" s="32" t="s">
        <v>487</v>
      </c>
      <c r="B187" s="29" t="s">
        <v>469</v>
      </c>
      <c r="C187" s="32" t="s">
        <v>336</v>
      </c>
      <c r="D187" s="29">
        <v>0.26</v>
      </c>
      <c r="E187" s="32" t="s">
        <v>495</v>
      </c>
      <c r="F187" s="29" t="s">
        <v>245</v>
      </c>
      <c r="G187" s="32" t="s">
        <v>394</v>
      </c>
      <c r="H187" s="29">
        <v>0.26</v>
      </c>
      <c r="I187" s="5"/>
    </row>
    <row r="188" spans="1:9">
      <c r="A188" s="32" t="s">
        <v>394</v>
      </c>
      <c r="B188" s="29" t="s">
        <v>470</v>
      </c>
      <c r="C188" s="32" t="s">
        <v>322</v>
      </c>
      <c r="D188" s="29" t="s">
        <v>473</v>
      </c>
      <c r="E188" s="32" t="s">
        <v>489</v>
      </c>
      <c r="F188" s="29" t="s">
        <v>418</v>
      </c>
      <c r="G188" s="32"/>
      <c r="H188" s="29"/>
      <c r="I188" s="5"/>
    </row>
    <row r="189" spans="1:9">
      <c r="A189" s="32" t="s">
        <v>488</v>
      </c>
      <c r="B189" s="29" t="s">
        <v>458</v>
      </c>
      <c r="C189" s="32" t="s">
        <v>492</v>
      </c>
      <c r="D189" s="29" t="s">
        <v>294</v>
      </c>
      <c r="E189" s="32" t="s">
        <v>328</v>
      </c>
      <c r="F189" s="29" t="s">
        <v>477</v>
      </c>
      <c r="G189" s="4"/>
      <c r="H189" s="29"/>
      <c r="I189" s="5"/>
    </row>
    <row r="190" spans="1:9">
      <c r="A190" s="32" t="s">
        <v>489</v>
      </c>
      <c r="B190" s="29" t="s">
        <v>265</v>
      </c>
      <c r="C190" s="32" t="s">
        <v>328</v>
      </c>
      <c r="D190" s="29">
        <v>0.03</v>
      </c>
      <c r="E190" s="32"/>
      <c r="F190" s="29"/>
      <c r="G190" s="4"/>
      <c r="H190" s="29"/>
      <c r="I190" s="5"/>
    </row>
    <row r="191" spans="1:9">
      <c r="A191" s="32" t="s">
        <v>328</v>
      </c>
      <c r="B191" s="29" t="s">
        <v>471</v>
      </c>
      <c r="C191" s="4"/>
      <c r="D191" s="29"/>
      <c r="E191" s="4"/>
      <c r="F191" s="29"/>
      <c r="G191" s="4"/>
      <c r="H191" s="29"/>
      <c r="I191" s="5"/>
    </row>
    <row r="192" spans="1:9">
      <c r="A192" s="4"/>
      <c r="B192" s="29"/>
      <c r="C192" s="4"/>
      <c r="D192" s="29"/>
      <c r="E192" s="4"/>
      <c r="F192" s="29"/>
      <c r="G192" s="4"/>
      <c r="H192" s="29"/>
      <c r="I192" s="5"/>
    </row>
    <row r="193" spans="1:9">
      <c r="A193" s="4"/>
      <c r="B193" s="29"/>
      <c r="C193" s="4"/>
      <c r="D193" s="29"/>
      <c r="E193" s="4"/>
      <c r="F193" s="29"/>
      <c r="G193" s="4"/>
      <c r="H193" s="29"/>
      <c r="I193" s="5"/>
    </row>
    <row r="194" spans="1:9">
      <c r="A194" s="4"/>
      <c r="B194" s="29"/>
      <c r="C194" s="4"/>
      <c r="D194" s="29"/>
      <c r="E194" s="4"/>
      <c r="F194" s="29"/>
      <c r="G194" s="4"/>
      <c r="H194" s="29"/>
      <c r="I194" s="5"/>
    </row>
    <row r="195" spans="1:9">
      <c r="A195" s="6"/>
      <c r="B195" s="22"/>
      <c r="C195" s="6"/>
      <c r="D195" s="22"/>
      <c r="E195" s="6"/>
      <c r="F195" s="22"/>
      <c r="G195" s="6"/>
      <c r="H195" s="22"/>
      <c r="I195" s="8"/>
    </row>
  </sheetData>
  <mergeCells count="46">
    <mergeCell ref="A1:B2"/>
    <mergeCell ref="C1:D2"/>
    <mergeCell ref="E1:F2"/>
    <mergeCell ref="G1:H2"/>
    <mergeCell ref="I1:J2"/>
    <mergeCell ref="A14:B15"/>
    <mergeCell ref="C14:D15"/>
    <mergeCell ref="E14:F15"/>
    <mergeCell ref="G14:H15"/>
    <mergeCell ref="I14:J15"/>
    <mergeCell ref="E55:F56"/>
    <mergeCell ref="G55:H56"/>
    <mergeCell ref="I55:J56"/>
    <mergeCell ref="K55:L56"/>
    <mergeCell ref="A33:B34"/>
    <mergeCell ref="C33:D34"/>
    <mergeCell ref="E33:F34"/>
    <mergeCell ref="G33:H34"/>
    <mergeCell ref="I33:J34"/>
    <mergeCell ref="A76:B77"/>
    <mergeCell ref="A97:B98"/>
    <mergeCell ref="C97:D98"/>
    <mergeCell ref="A55:B56"/>
    <mergeCell ref="C55:D56"/>
    <mergeCell ref="K118:L119"/>
    <mergeCell ref="A137:B138"/>
    <mergeCell ref="C137:D138"/>
    <mergeCell ref="E137:F138"/>
    <mergeCell ref="G137:H138"/>
    <mergeCell ref="I137:J138"/>
    <mergeCell ref="K137:L138"/>
    <mergeCell ref="A118:B119"/>
    <mergeCell ref="C118:D119"/>
    <mergeCell ref="E118:F119"/>
    <mergeCell ref="G118:H119"/>
    <mergeCell ref="I118:J119"/>
    <mergeCell ref="A158:B159"/>
    <mergeCell ref="C158:D159"/>
    <mergeCell ref="E158:F159"/>
    <mergeCell ref="G158:H159"/>
    <mergeCell ref="I158:I161"/>
    <mergeCell ref="A177:B178"/>
    <mergeCell ref="C177:D178"/>
    <mergeCell ref="E177:F178"/>
    <mergeCell ref="G177:H178"/>
    <mergeCell ref="I177:I18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1D440-EE1A-604C-9F83-93E314BCEFE7}">
  <sheetPr>
    <pageSetUpPr fitToPage="1"/>
  </sheetPr>
  <dimension ref="A1:I203"/>
  <sheetViews>
    <sheetView zoomScale="108" workbookViewId="0">
      <selection activeCell="M15" sqref="M15"/>
    </sheetView>
  </sheetViews>
  <sheetFormatPr baseColWidth="10" defaultRowHeight="16"/>
  <cols>
    <col min="1" max="1" width="59" style="2" customWidth="1"/>
    <col min="2" max="9" width="8.83203125" customWidth="1"/>
  </cols>
  <sheetData>
    <row r="1" spans="1:9" ht="16" customHeight="1">
      <c r="A1" s="85"/>
      <c r="B1" s="90" t="s">
        <v>501</v>
      </c>
      <c r="C1" s="91"/>
      <c r="D1" s="91"/>
      <c r="E1" s="92"/>
      <c r="F1" s="90" t="s">
        <v>503</v>
      </c>
      <c r="G1" s="91"/>
      <c r="H1" s="91"/>
      <c r="I1" s="92"/>
    </row>
    <row r="2" spans="1:9">
      <c r="A2" s="86"/>
      <c r="B2" s="93"/>
      <c r="C2" s="94"/>
      <c r="D2" s="94"/>
      <c r="E2" s="95"/>
      <c r="F2" s="93"/>
      <c r="G2" s="94"/>
      <c r="H2" s="94"/>
      <c r="I2" s="95"/>
    </row>
    <row r="3" spans="1:9" ht="17" thickBot="1">
      <c r="A3" s="12"/>
      <c r="B3" s="9"/>
      <c r="C3" s="10"/>
      <c r="D3" s="10"/>
      <c r="E3" s="11"/>
      <c r="F3" s="4"/>
      <c r="G3" s="10"/>
      <c r="H3" s="3"/>
      <c r="I3" s="5"/>
    </row>
    <row r="4" spans="1:9" ht="17" thickTop="1">
      <c r="A4" s="55" t="s">
        <v>128</v>
      </c>
      <c r="B4" s="14" t="s">
        <v>6</v>
      </c>
      <c r="C4" s="15" t="s">
        <v>499</v>
      </c>
      <c r="D4" s="15" t="s">
        <v>500</v>
      </c>
      <c r="E4" s="74" t="s">
        <v>502</v>
      </c>
      <c r="F4" s="14" t="s">
        <v>6</v>
      </c>
      <c r="G4" s="15" t="s">
        <v>499</v>
      </c>
      <c r="H4" s="15" t="s">
        <v>500</v>
      </c>
      <c r="I4" s="16" t="s">
        <v>502</v>
      </c>
    </row>
    <row r="5" spans="1:9">
      <c r="A5" s="51" t="s">
        <v>130</v>
      </c>
      <c r="B5" s="53">
        <v>8.1773240000000005</v>
      </c>
      <c r="C5" s="70">
        <v>1.03910177</v>
      </c>
      <c r="D5" s="57">
        <v>6.1007811890000001</v>
      </c>
      <c r="E5" s="59">
        <v>10.2385182</v>
      </c>
      <c r="F5" s="73">
        <v>8.2093898500000009</v>
      </c>
      <c r="G5" s="69">
        <v>0.99160145</v>
      </c>
      <c r="H5" s="69">
        <v>5.6899902482</v>
      </c>
      <c r="I5" s="66">
        <v>11.322109299999999</v>
      </c>
    </row>
    <row r="6" spans="1:9">
      <c r="A6" s="51" t="s">
        <v>497</v>
      </c>
      <c r="B6" s="54">
        <v>-4.3254300099999998</v>
      </c>
      <c r="C6" s="70">
        <v>0.65763344000000001</v>
      </c>
      <c r="D6" s="58">
        <v>-5.7107514510000001</v>
      </c>
      <c r="E6" s="60">
        <v>-3.1303321999999998</v>
      </c>
      <c r="F6" s="67">
        <v>-4.7069843999999996</v>
      </c>
      <c r="G6" s="69">
        <v>0.64042498000000003</v>
      </c>
      <c r="H6" s="69">
        <v>-6.2456286837999997</v>
      </c>
      <c r="I6" s="66">
        <v>-2.6654966</v>
      </c>
    </row>
    <row r="7" spans="1:9">
      <c r="A7" s="51" t="s">
        <v>131</v>
      </c>
      <c r="B7" s="54">
        <v>8.3720619999999996E-2</v>
      </c>
      <c r="C7" s="70">
        <v>6.2628950000000003E-2</v>
      </c>
      <c r="D7" s="58">
        <v>1.449889E-3</v>
      </c>
      <c r="E7" s="60">
        <v>0.28615570000000001</v>
      </c>
      <c r="F7" s="67">
        <v>0.12396001</v>
      </c>
      <c r="G7" s="69">
        <v>0.1001701</v>
      </c>
      <c r="H7" s="69">
        <v>2.7237250000000001E-4</v>
      </c>
      <c r="I7" s="66">
        <v>0.48599110000000001</v>
      </c>
    </row>
    <row r="8" spans="1:9">
      <c r="A8" s="51" t="s">
        <v>132</v>
      </c>
      <c r="B8" s="54">
        <v>0.27522228999999998</v>
      </c>
      <c r="C8" s="70">
        <v>8.5847430000000002E-2</v>
      </c>
      <c r="D8" s="58">
        <v>0.117740019</v>
      </c>
      <c r="E8" s="60">
        <v>0.45546310000000001</v>
      </c>
      <c r="F8" s="67">
        <v>0.26761396999999998</v>
      </c>
      <c r="G8" s="69">
        <v>8.7868119999999994E-2</v>
      </c>
      <c r="H8" s="69">
        <v>7.0532413099999997E-2</v>
      </c>
      <c r="I8" s="66">
        <v>0.5236073</v>
      </c>
    </row>
    <row r="9" spans="1:9">
      <c r="A9" s="51" t="s">
        <v>134</v>
      </c>
      <c r="B9" s="54">
        <v>6.6971849999999999E-2</v>
      </c>
      <c r="C9" s="70">
        <v>2.011804E-2</v>
      </c>
      <c r="D9" s="58">
        <v>2.2308747E-2</v>
      </c>
      <c r="E9" s="60">
        <v>0.113672</v>
      </c>
      <c r="F9" s="67">
        <v>6.7606620000000006E-2</v>
      </c>
      <c r="G9" s="69">
        <v>2.6170430000000001E-2</v>
      </c>
      <c r="H9" s="69">
        <v>7.4131131000000003E-3</v>
      </c>
      <c r="I9" s="66">
        <v>0.14964350000000001</v>
      </c>
    </row>
    <row r="10" spans="1:9">
      <c r="A10" s="51" t="s">
        <v>133</v>
      </c>
      <c r="B10" s="54">
        <v>0.23319518</v>
      </c>
      <c r="C10" s="70">
        <v>6.9975369999999995E-2</v>
      </c>
      <c r="D10" s="58">
        <v>0.133220854</v>
      </c>
      <c r="E10" s="60">
        <v>0.3846195</v>
      </c>
      <c r="F10" s="67">
        <v>0.22006102999999999</v>
      </c>
      <c r="G10" s="69">
        <v>6.2725489999999995E-2</v>
      </c>
      <c r="H10" s="69">
        <v>9.7830867700000004E-2</v>
      </c>
      <c r="I10" s="66">
        <v>0.43584319999999999</v>
      </c>
    </row>
    <row r="11" spans="1:9">
      <c r="A11" s="51" t="s">
        <v>135</v>
      </c>
      <c r="B11" s="54">
        <v>0.14241324</v>
      </c>
      <c r="C11" s="70">
        <v>4.7873819999999997E-2</v>
      </c>
      <c r="D11" s="58">
        <v>5.3974464E-2</v>
      </c>
      <c r="E11" s="60">
        <v>0.2463746</v>
      </c>
      <c r="F11" s="67">
        <v>0.15371346</v>
      </c>
      <c r="G11" s="69">
        <v>4.6829679999999999E-2</v>
      </c>
      <c r="H11" s="69">
        <v>6.5460167700000002E-2</v>
      </c>
      <c r="I11" s="66">
        <v>0.37067410000000001</v>
      </c>
    </row>
    <row r="12" spans="1:9">
      <c r="A12" s="51" t="s">
        <v>136</v>
      </c>
      <c r="B12" s="54">
        <v>1.4342757699999999</v>
      </c>
      <c r="C12" s="70">
        <v>0.71576424999999999</v>
      </c>
      <c r="D12" s="58">
        <v>0.49802397199999998</v>
      </c>
      <c r="E12" s="60">
        <v>2.6509347000000001</v>
      </c>
      <c r="F12" s="67">
        <v>1.0441535500000001</v>
      </c>
      <c r="G12" s="69">
        <v>0.69395498</v>
      </c>
      <c r="H12" s="69">
        <v>-0.2797782009</v>
      </c>
      <c r="I12" s="66">
        <v>2.2175750000000001</v>
      </c>
    </row>
    <row r="13" spans="1:9">
      <c r="A13" s="51" t="s">
        <v>498</v>
      </c>
      <c r="B13" s="54">
        <v>11.47535487</v>
      </c>
      <c r="C13" s="70">
        <v>0.81433255999999998</v>
      </c>
      <c r="D13" s="58">
        <v>9.2363979060000005</v>
      </c>
      <c r="E13" s="60">
        <v>12.631039700000001</v>
      </c>
      <c r="F13" s="67">
        <v>11.82682696</v>
      </c>
      <c r="G13" s="69">
        <v>0.54414653999999996</v>
      </c>
      <c r="H13" s="69">
        <v>10.3027669016</v>
      </c>
      <c r="I13" s="66">
        <v>13.591457800000001</v>
      </c>
    </row>
    <row r="14" spans="1:9">
      <c r="A14" s="51" t="s">
        <v>137</v>
      </c>
      <c r="B14" s="54">
        <v>0.50225249999999999</v>
      </c>
      <c r="C14" s="70">
        <v>0.19058897</v>
      </c>
      <c r="D14" s="58">
        <v>0.11866718599999999</v>
      </c>
      <c r="E14" s="60">
        <v>0.94896179999999997</v>
      </c>
      <c r="F14" s="67">
        <v>0.43083205000000002</v>
      </c>
      <c r="G14" s="69">
        <v>0.19363875999999999</v>
      </c>
      <c r="H14" s="69">
        <v>6.4745923699999999E-2</v>
      </c>
      <c r="I14" s="66">
        <v>0.92562169999999999</v>
      </c>
    </row>
    <row r="15" spans="1:9">
      <c r="A15" s="51" t="s">
        <v>138</v>
      </c>
      <c r="B15" s="54">
        <v>7.6210029999999998E-2</v>
      </c>
      <c r="C15" s="70">
        <v>4.2163970000000002E-2</v>
      </c>
      <c r="D15" s="58">
        <v>2.8482718000000001E-2</v>
      </c>
      <c r="E15" s="60">
        <v>0.26064969999999998</v>
      </c>
      <c r="F15" s="67">
        <v>8.7726009999999993E-2</v>
      </c>
      <c r="G15" s="69">
        <v>3.6732269999999997E-2</v>
      </c>
      <c r="H15" s="69">
        <v>1.8084242100000002E-2</v>
      </c>
      <c r="I15" s="66">
        <v>0.1895761</v>
      </c>
    </row>
    <row r="16" spans="1:9">
      <c r="A16" s="51" t="s">
        <v>139</v>
      </c>
      <c r="B16" s="54">
        <v>3.5604212899999998</v>
      </c>
      <c r="C16" s="70">
        <v>0.13254073999999999</v>
      </c>
      <c r="D16" s="58">
        <v>3.088465931</v>
      </c>
      <c r="E16" s="60">
        <v>3.8180991999999998</v>
      </c>
      <c r="F16" s="67">
        <v>3.5678991299999998</v>
      </c>
      <c r="G16" s="69">
        <v>0.12912884999999999</v>
      </c>
      <c r="H16" s="69">
        <v>3.2915288486000001</v>
      </c>
      <c r="I16" s="66">
        <v>4.0276930000000002</v>
      </c>
    </row>
    <row r="17" spans="1:9">
      <c r="A17" s="51" t="s">
        <v>140</v>
      </c>
      <c r="B17" s="54">
        <v>2.7956269999999998E-2</v>
      </c>
      <c r="C17" s="70">
        <v>3.6939609999999998E-2</v>
      </c>
      <c r="D17" s="58">
        <v>-7.267788E-2</v>
      </c>
      <c r="E17" s="56">
        <v>0.15128539999999999</v>
      </c>
      <c r="F17" s="70">
        <v>2.21604E-2</v>
      </c>
      <c r="G17" s="70">
        <v>9.227581E-2</v>
      </c>
      <c r="H17" s="70">
        <v>-0.23936368</v>
      </c>
      <c r="I17" s="66">
        <v>0.35234890000000002</v>
      </c>
    </row>
    <row r="18" spans="1:9">
      <c r="A18" s="51" t="s">
        <v>141</v>
      </c>
      <c r="B18" s="54">
        <v>5.7353849999999998E-2</v>
      </c>
      <c r="C18" s="70">
        <v>5.2201369999999997E-2</v>
      </c>
      <c r="D18" s="58">
        <v>-4.7208750000000001E-2</v>
      </c>
      <c r="E18" s="56">
        <v>0.149313</v>
      </c>
      <c r="F18" s="70">
        <v>5.7500889999999999E-2</v>
      </c>
      <c r="G18" s="70">
        <v>5.1795140000000003E-2</v>
      </c>
      <c r="H18" s="70">
        <v>-5.8282680000000003E-2</v>
      </c>
      <c r="I18" s="66">
        <v>0.2318627</v>
      </c>
    </row>
    <row r="19" spans="1:9">
      <c r="A19" s="52" t="s">
        <v>142</v>
      </c>
      <c r="B19" s="64">
        <v>8.148503E-2</v>
      </c>
      <c r="C19" s="61">
        <v>5.8898499999999999E-2</v>
      </c>
      <c r="D19" s="62">
        <v>-1.843645E-2</v>
      </c>
      <c r="E19" s="63">
        <v>0.2143099</v>
      </c>
      <c r="F19" s="61">
        <v>6.4244880000000004E-2</v>
      </c>
      <c r="G19" s="61">
        <v>5.5081650000000003E-2</v>
      </c>
      <c r="H19" s="61">
        <v>-6.010621E-2</v>
      </c>
      <c r="I19" s="68">
        <v>0.2138671</v>
      </c>
    </row>
    <row r="20" spans="1:9">
      <c r="D20" s="71"/>
      <c r="E20" s="71"/>
      <c r="F20" s="72"/>
    </row>
    <row r="21" spans="1:9">
      <c r="D21" s="71"/>
      <c r="E21" s="71"/>
      <c r="F21" s="71"/>
    </row>
    <row r="23" spans="1:9">
      <c r="A23" s="65"/>
      <c r="B23" s="1"/>
    </row>
    <row r="25" spans="1:9">
      <c r="C25" s="1"/>
      <c r="D25" s="1"/>
      <c r="G25" s="1"/>
    </row>
    <row r="63" ht="16" customHeight="1"/>
    <row r="98" ht="17" customHeight="1"/>
    <row r="126" ht="16" customHeight="1"/>
    <row r="145" ht="16" customHeight="1"/>
    <row r="189" spans="4:5">
      <c r="D189" s="7"/>
      <c r="E189" s="18">
        <v>4.5999999999999999E-2</v>
      </c>
    </row>
    <row r="203" spans="6:9">
      <c r="F203" s="6">
        <v>7.9000000000000001E-2</v>
      </c>
      <c r="G203" s="7">
        <v>7.8E-2</v>
      </c>
      <c r="H203" s="7"/>
      <c r="I203" s="18">
        <v>8.8999999999999996E-2</v>
      </c>
    </row>
  </sheetData>
  <mergeCells count="3">
    <mergeCell ref="A1:A2"/>
    <mergeCell ref="B1:E2"/>
    <mergeCell ref="F1:I2"/>
  </mergeCells>
  <phoneticPr fontId="9" type="noConversion"/>
  <pageMargins left="0.7" right="0.7" top="0.75" bottom="0.75" header="0.3" footer="0.3"/>
  <pageSetup paperSize="9" scale="15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F0D6C-B089-9A46-8E68-D7F9ED64569D}">
  <dimension ref="A1:G11"/>
  <sheetViews>
    <sheetView workbookViewId="0">
      <selection activeCell="F25" sqref="F25"/>
    </sheetView>
  </sheetViews>
  <sheetFormatPr baseColWidth="10" defaultRowHeight="16"/>
  <cols>
    <col min="1" max="1" width="20" customWidth="1"/>
    <col min="6" max="6" width="10.6640625" customWidth="1"/>
    <col min="7" max="7" width="11.5" customWidth="1"/>
  </cols>
  <sheetData>
    <row r="1" spans="1:7">
      <c r="A1" s="100"/>
      <c r="B1" s="101" t="s">
        <v>504</v>
      </c>
      <c r="C1" s="102"/>
      <c r="D1" s="102"/>
      <c r="E1" s="102"/>
      <c r="F1" s="102"/>
      <c r="G1" s="103"/>
    </row>
    <row r="2" spans="1:7">
      <c r="A2" s="104"/>
      <c r="B2" s="105"/>
      <c r="C2" s="106"/>
      <c r="D2" s="106"/>
      <c r="E2" s="106"/>
      <c r="F2" s="106"/>
      <c r="G2" s="107"/>
    </row>
    <row r="3" spans="1:7" ht="17" thickBot="1">
      <c r="A3" s="108"/>
      <c r="B3" s="109"/>
      <c r="C3" s="110"/>
      <c r="D3" s="110"/>
      <c r="E3" s="110"/>
      <c r="F3" s="110"/>
      <c r="G3" s="111"/>
    </row>
    <row r="4" spans="1:7" ht="49" thickTop="1">
      <c r="A4" s="112" t="s">
        <v>505</v>
      </c>
      <c r="B4" s="113" t="s">
        <v>506</v>
      </c>
      <c r="C4" s="114" t="s">
        <v>507</v>
      </c>
      <c r="D4" s="115" t="s">
        <v>508</v>
      </c>
      <c r="E4" s="116" t="s">
        <v>507</v>
      </c>
      <c r="F4" s="115" t="s">
        <v>509</v>
      </c>
      <c r="G4" s="117" t="s">
        <v>507</v>
      </c>
    </row>
    <row r="5" spans="1:7">
      <c r="A5" s="118" t="s">
        <v>510</v>
      </c>
      <c r="B5" s="119" t="s">
        <v>511</v>
      </c>
      <c r="C5" s="120" t="s">
        <v>512</v>
      </c>
      <c r="D5" s="121" t="s">
        <v>513</v>
      </c>
      <c r="E5" s="25" t="s">
        <v>512</v>
      </c>
      <c r="F5" s="122" t="s">
        <v>513</v>
      </c>
      <c r="G5" s="123" t="s">
        <v>512</v>
      </c>
    </row>
    <row r="6" spans="1:7">
      <c r="A6" s="124" t="s">
        <v>514</v>
      </c>
      <c r="B6" s="125" t="s">
        <v>515</v>
      </c>
      <c r="C6" s="122" t="s">
        <v>516</v>
      </c>
      <c r="D6" s="126" t="s">
        <v>517</v>
      </c>
      <c r="E6" s="127" t="s">
        <v>516</v>
      </c>
      <c r="F6" s="122" t="s">
        <v>518</v>
      </c>
      <c r="G6" s="128" t="s">
        <v>516</v>
      </c>
    </row>
    <row r="7" spans="1:7">
      <c r="A7" s="124" t="s">
        <v>519</v>
      </c>
      <c r="B7" s="129" t="s">
        <v>520</v>
      </c>
      <c r="C7" s="83" t="s">
        <v>521</v>
      </c>
      <c r="D7" s="130" t="s">
        <v>522</v>
      </c>
      <c r="E7" s="25" t="s">
        <v>521</v>
      </c>
      <c r="F7" s="131" t="s">
        <v>523</v>
      </c>
      <c r="G7" s="128" t="s">
        <v>521</v>
      </c>
    </row>
    <row r="8" spans="1:7">
      <c r="A8" s="124" t="s">
        <v>524</v>
      </c>
      <c r="B8" s="129" t="s">
        <v>525</v>
      </c>
      <c r="C8" s="83" t="s">
        <v>526</v>
      </c>
      <c r="D8" s="130" t="s">
        <v>527</v>
      </c>
      <c r="E8" s="127" t="s">
        <v>526</v>
      </c>
      <c r="F8" s="131" t="s">
        <v>528</v>
      </c>
      <c r="G8" s="128" t="s">
        <v>526</v>
      </c>
    </row>
    <row r="9" spans="1:7">
      <c r="A9" s="124" t="s">
        <v>182</v>
      </c>
      <c r="B9" s="132" t="s">
        <v>529</v>
      </c>
      <c r="C9" s="83" t="s">
        <v>512</v>
      </c>
      <c r="D9" s="130" t="s">
        <v>530</v>
      </c>
      <c r="E9" s="76" t="s">
        <v>512</v>
      </c>
      <c r="F9" s="133" t="s">
        <v>531</v>
      </c>
      <c r="G9" s="134" t="s">
        <v>512</v>
      </c>
    </row>
    <row r="10" spans="1:7">
      <c r="A10" s="124" t="s">
        <v>532</v>
      </c>
      <c r="B10" s="129" t="s">
        <v>533</v>
      </c>
      <c r="C10" s="83" t="s">
        <v>534</v>
      </c>
      <c r="D10" s="130" t="s">
        <v>535</v>
      </c>
      <c r="E10" s="127" t="s">
        <v>534</v>
      </c>
      <c r="F10" s="133" t="s">
        <v>536</v>
      </c>
      <c r="G10" s="135" t="s">
        <v>534</v>
      </c>
    </row>
    <row r="11" spans="1:7" ht="17" thickBot="1">
      <c r="A11" s="136" t="s">
        <v>537</v>
      </c>
      <c r="B11" s="137" t="s">
        <v>538</v>
      </c>
      <c r="C11" s="138" t="s">
        <v>539</v>
      </c>
      <c r="D11" s="139" t="s">
        <v>540</v>
      </c>
      <c r="E11" s="140" t="s">
        <v>539</v>
      </c>
      <c r="F11" s="141" t="s">
        <v>541</v>
      </c>
      <c r="G11" s="142" t="s">
        <v>539</v>
      </c>
    </row>
  </sheetData>
  <mergeCells count="2">
    <mergeCell ref="A1:A2"/>
    <mergeCell ref="B1:G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88B3D-D89D-E14D-855C-C08A396E64CF}">
  <dimension ref="A1:T203"/>
  <sheetViews>
    <sheetView workbookViewId="0">
      <selection activeCell="G12" sqref="G12"/>
    </sheetView>
  </sheetViews>
  <sheetFormatPr baseColWidth="10" defaultRowHeight="16"/>
  <cols>
    <col min="1" max="1" width="60.5" bestFit="1" customWidth="1"/>
  </cols>
  <sheetData>
    <row r="1" spans="1:17" ht="16" customHeight="1">
      <c r="A1" s="97" t="s">
        <v>8</v>
      </c>
      <c r="B1" s="90" t="s">
        <v>123</v>
      </c>
      <c r="C1" s="91"/>
      <c r="D1" s="92"/>
      <c r="E1" s="90" t="s">
        <v>124</v>
      </c>
      <c r="F1" s="91"/>
      <c r="G1" s="92"/>
      <c r="H1" s="90" t="s">
        <v>125</v>
      </c>
      <c r="I1" s="91"/>
      <c r="J1" s="92"/>
      <c r="K1" s="90" t="s">
        <v>126</v>
      </c>
      <c r="L1" s="91"/>
      <c r="M1" s="92"/>
      <c r="N1" s="90" t="s">
        <v>127</v>
      </c>
      <c r="O1" s="91"/>
      <c r="P1" s="92"/>
      <c r="Q1" s="85" t="s">
        <v>143</v>
      </c>
    </row>
    <row r="2" spans="1:17">
      <c r="A2" s="98"/>
      <c r="B2" s="93"/>
      <c r="C2" s="96"/>
      <c r="D2" s="95"/>
      <c r="E2" s="93"/>
      <c r="F2" s="96"/>
      <c r="G2" s="95"/>
      <c r="H2" s="93"/>
      <c r="I2" s="96"/>
      <c r="J2" s="95"/>
      <c r="K2" s="93"/>
      <c r="L2" s="96"/>
      <c r="M2" s="95"/>
      <c r="N2" s="93"/>
      <c r="O2" s="96"/>
      <c r="P2" s="95"/>
      <c r="Q2" s="86"/>
    </row>
    <row r="3" spans="1:17" ht="17" thickBot="1">
      <c r="A3" s="84"/>
      <c r="B3" s="80"/>
      <c r="C3" s="81" t="s">
        <v>144</v>
      </c>
      <c r="D3" s="82"/>
      <c r="E3" s="75"/>
      <c r="F3" s="81" t="s">
        <v>145</v>
      </c>
      <c r="G3" s="76"/>
      <c r="H3" s="75"/>
      <c r="I3" s="13" t="s">
        <v>146</v>
      </c>
      <c r="J3" s="76"/>
      <c r="K3" s="75"/>
      <c r="L3" s="13" t="s">
        <v>147</v>
      </c>
      <c r="M3" s="76"/>
      <c r="N3" s="75"/>
      <c r="O3" s="13" t="s">
        <v>148</v>
      </c>
      <c r="P3" s="76"/>
      <c r="Q3" s="86"/>
    </row>
    <row r="4" spans="1:17" ht="17" thickTop="1">
      <c r="A4" s="143" t="s">
        <v>128</v>
      </c>
      <c r="B4" s="14" t="s">
        <v>0</v>
      </c>
      <c r="C4" s="15" t="s">
        <v>1</v>
      </c>
      <c r="D4" s="16" t="s">
        <v>129</v>
      </c>
      <c r="E4" s="14" t="s">
        <v>0</v>
      </c>
      <c r="F4" s="15" t="s">
        <v>1</v>
      </c>
      <c r="G4" s="16" t="s">
        <v>129</v>
      </c>
      <c r="H4" s="14" t="s">
        <v>0</v>
      </c>
      <c r="I4" s="15" t="s">
        <v>1</v>
      </c>
      <c r="J4" s="16" t="s">
        <v>129</v>
      </c>
      <c r="K4" s="14" t="s">
        <v>0</v>
      </c>
      <c r="L4" s="15" t="s">
        <v>1</v>
      </c>
      <c r="M4" s="16" t="s">
        <v>129</v>
      </c>
      <c r="N4" s="14" t="s">
        <v>0</v>
      </c>
      <c r="O4" s="15" t="s">
        <v>1</v>
      </c>
      <c r="P4" s="16" t="s">
        <v>129</v>
      </c>
      <c r="Q4" s="87"/>
    </row>
    <row r="5" spans="1:17">
      <c r="A5" s="51" t="s">
        <v>130</v>
      </c>
      <c r="B5" s="75" t="s">
        <v>542</v>
      </c>
      <c r="C5" s="122">
        <v>9188</v>
      </c>
      <c r="D5" s="144" t="s">
        <v>543</v>
      </c>
      <c r="E5" s="126">
        <v>7557</v>
      </c>
      <c r="F5" s="122">
        <v>7609</v>
      </c>
      <c r="G5" s="144" t="s">
        <v>398</v>
      </c>
      <c r="H5" s="75" t="s">
        <v>544</v>
      </c>
      <c r="I5" s="122">
        <v>7592</v>
      </c>
      <c r="J5" s="144" t="s">
        <v>259</v>
      </c>
      <c r="K5" s="126">
        <v>7586</v>
      </c>
      <c r="L5" s="122">
        <v>8171</v>
      </c>
      <c r="M5" s="144" t="s">
        <v>545</v>
      </c>
      <c r="N5" s="126">
        <v>8166</v>
      </c>
      <c r="O5" s="122">
        <v>8177</v>
      </c>
      <c r="P5" s="144" t="s">
        <v>546</v>
      </c>
      <c r="Q5" s="145">
        <v>8209</v>
      </c>
    </row>
    <row r="6" spans="1:17">
      <c r="A6" s="51" t="s">
        <v>497</v>
      </c>
      <c r="B6" s="126">
        <v>-4015</v>
      </c>
      <c r="C6" s="122">
        <v>-4013</v>
      </c>
      <c r="D6" s="144">
        <v>0.2</v>
      </c>
      <c r="E6" s="126">
        <v>-4457</v>
      </c>
      <c r="F6" s="122">
        <v>-4485</v>
      </c>
      <c r="G6" s="144" t="s">
        <v>547</v>
      </c>
      <c r="H6" s="126">
        <v>-4568</v>
      </c>
      <c r="I6" s="122">
        <v>-4608</v>
      </c>
      <c r="J6" s="144" t="s">
        <v>548</v>
      </c>
      <c r="K6" s="126">
        <v>-4519</v>
      </c>
      <c r="L6" s="122">
        <v>-4415</v>
      </c>
      <c r="M6" s="144">
        <v>0.06</v>
      </c>
      <c r="N6" s="126">
        <v>-4624</v>
      </c>
      <c r="O6" s="122">
        <v>-4598</v>
      </c>
      <c r="P6" s="144" t="s">
        <v>549</v>
      </c>
      <c r="Q6" s="76" t="s">
        <v>550</v>
      </c>
    </row>
    <row r="7" spans="1:17">
      <c r="A7" s="51" t="s">
        <v>551</v>
      </c>
      <c r="B7" s="75" t="s">
        <v>73</v>
      </c>
      <c r="C7" s="83" t="s">
        <v>552</v>
      </c>
      <c r="D7" s="144" t="s">
        <v>553</v>
      </c>
      <c r="E7" s="75" t="s">
        <v>108</v>
      </c>
      <c r="F7" s="83" t="s">
        <v>554</v>
      </c>
      <c r="G7" s="144">
        <v>0</v>
      </c>
      <c r="H7" s="75" t="s">
        <v>555</v>
      </c>
      <c r="I7" s="83" t="s">
        <v>556</v>
      </c>
      <c r="J7" s="144" t="s">
        <v>236</v>
      </c>
      <c r="K7" s="75" t="s">
        <v>557</v>
      </c>
      <c r="L7" s="83" t="s">
        <v>75</v>
      </c>
      <c r="M7" s="144" t="s">
        <v>558</v>
      </c>
      <c r="N7" s="75" t="s">
        <v>49</v>
      </c>
      <c r="O7" s="83" t="s">
        <v>559</v>
      </c>
      <c r="P7" s="144" t="s">
        <v>261</v>
      </c>
      <c r="Q7" s="76" t="s">
        <v>11</v>
      </c>
    </row>
    <row r="8" spans="1:17">
      <c r="A8" s="51" t="s">
        <v>132</v>
      </c>
      <c r="B8" s="75" t="s">
        <v>94</v>
      </c>
      <c r="C8" s="83" t="s">
        <v>560</v>
      </c>
      <c r="D8" s="144" t="s">
        <v>278</v>
      </c>
      <c r="E8" s="75" t="s">
        <v>561</v>
      </c>
      <c r="F8" s="83" t="s">
        <v>562</v>
      </c>
      <c r="G8" s="144" t="s">
        <v>230</v>
      </c>
      <c r="H8" s="75" t="s">
        <v>563</v>
      </c>
      <c r="I8" s="83" t="s">
        <v>564</v>
      </c>
      <c r="J8" s="144" t="s">
        <v>565</v>
      </c>
      <c r="K8" s="75" t="s">
        <v>566</v>
      </c>
      <c r="L8" s="83" t="s">
        <v>62</v>
      </c>
      <c r="M8" s="144" t="s">
        <v>545</v>
      </c>
      <c r="N8" s="75" t="s">
        <v>40</v>
      </c>
      <c r="O8" s="83" t="s">
        <v>567</v>
      </c>
      <c r="P8" s="144" t="s">
        <v>568</v>
      </c>
      <c r="Q8" s="76" t="s">
        <v>29</v>
      </c>
    </row>
    <row r="9" spans="1:17">
      <c r="A9" s="51" t="s">
        <v>133</v>
      </c>
      <c r="B9" s="75" t="s">
        <v>569</v>
      </c>
      <c r="C9" s="83" t="s">
        <v>50</v>
      </c>
      <c r="D9" s="144">
        <v>0</v>
      </c>
      <c r="E9" s="75" t="s">
        <v>570</v>
      </c>
      <c r="F9" s="83" t="s">
        <v>571</v>
      </c>
      <c r="G9" s="144" t="s">
        <v>244</v>
      </c>
      <c r="H9" s="75" t="s">
        <v>572</v>
      </c>
      <c r="I9" s="83" t="s">
        <v>573</v>
      </c>
      <c r="J9" s="144" t="s">
        <v>418</v>
      </c>
      <c r="K9" s="75" t="s">
        <v>574</v>
      </c>
      <c r="L9" s="83" t="s">
        <v>53</v>
      </c>
      <c r="M9" s="144" t="s">
        <v>575</v>
      </c>
      <c r="N9" s="75" t="s">
        <v>51</v>
      </c>
      <c r="O9" s="83" t="s">
        <v>576</v>
      </c>
      <c r="P9" s="144">
        <v>0</v>
      </c>
      <c r="Q9" s="76" t="s">
        <v>30</v>
      </c>
    </row>
    <row r="10" spans="1:17">
      <c r="A10" s="51" t="s">
        <v>134</v>
      </c>
      <c r="B10" s="75" t="s">
        <v>577</v>
      </c>
      <c r="C10" s="83" t="s">
        <v>577</v>
      </c>
      <c r="D10" s="144" t="s">
        <v>578</v>
      </c>
      <c r="E10" s="75" t="s">
        <v>579</v>
      </c>
      <c r="F10" s="83" t="s">
        <v>78</v>
      </c>
      <c r="G10" s="144" t="s">
        <v>545</v>
      </c>
      <c r="H10" s="75" t="s">
        <v>580</v>
      </c>
      <c r="I10" s="83" t="s">
        <v>581</v>
      </c>
      <c r="J10" s="144" t="s">
        <v>439</v>
      </c>
      <c r="K10" s="75" t="s">
        <v>582</v>
      </c>
      <c r="L10" s="83" t="s">
        <v>81</v>
      </c>
      <c r="M10" s="144" t="s">
        <v>418</v>
      </c>
      <c r="N10" s="75" t="s">
        <v>10</v>
      </c>
      <c r="O10" s="83" t="s">
        <v>580</v>
      </c>
      <c r="P10" s="144">
        <v>0.05</v>
      </c>
      <c r="Q10" s="76" t="s">
        <v>31</v>
      </c>
    </row>
    <row r="11" spans="1:17">
      <c r="A11" s="51" t="s">
        <v>135</v>
      </c>
      <c r="B11" s="75" t="s">
        <v>570</v>
      </c>
      <c r="C11" s="83" t="s">
        <v>583</v>
      </c>
      <c r="D11" s="144" t="s">
        <v>584</v>
      </c>
      <c r="E11" s="75" t="s">
        <v>585</v>
      </c>
      <c r="F11" s="83" t="s">
        <v>586</v>
      </c>
      <c r="G11" s="144" t="s">
        <v>244</v>
      </c>
      <c r="H11" s="75" t="s">
        <v>587</v>
      </c>
      <c r="I11" s="83" t="s">
        <v>588</v>
      </c>
      <c r="J11" s="144">
        <v>0.06</v>
      </c>
      <c r="K11" s="75" t="s">
        <v>589</v>
      </c>
      <c r="L11" s="83" t="s">
        <v>590</v>
      </c>
      <c r="M11" s="144" t="s">
        <v>591</v>
      </c>
      <c r="N11" s="75" t="s">
        <v>52</v>
      </c>
      <c r="O11" s="83" t="s">
        <v>592</v>
      </c>
      <c r="P11" s="144" t="s">
        <v>545</v>
      </c>
      <c r="Q11" s="76" t="s">
        <v>32</v>
      </c>
    </row>
    <row r="12" spans="1:17">
      <c r="A12" s="51" t="s">
        <v>136</v>
      </c>
      <c r="B12" s="126">
        <v>1441</v>
      </c>
      <c r="C12" s="122">
        <v>1583</v>
      </c>
      <c r="D12" s="144" t="s">
        <v>244</v>
      </c>
      <c r="E12" s="126">
        <v>1441</v>
      </c>
      <c r="F12" s="122">
        <v>1654</v>
      </c>
      <c r="G12" s="144" t="s">
        <v>244</v>
      </c>
      <c r="H12" s="126">
        <v>1441</v>
      </c>
      <c r="I12" s="83" t="s">
        <v>593</v>
      </c>
      <c r="J12" s="144" t="s">
        <v>297</v>
      </c>
      <c r="K12" s="126">
        <v>1441</v>
      </c>
      <c r="L12" s="122">
        <v>1424</v>
      </c>
      <c r="M12" s="144" t="s">
        <v>402</v>
      </c>
      <c r="N12" s="126">
        <v>1441</v>
      </c>
      <c r="O12" s="122">
        <v>1347</v>
      </c>
      <c r="P12" s="144" t="s">
        <v>594</v>
      </c>
      <c r="Q12" s="145">
        <v>1044</v>
      </c>
    </row>
    <row r="13" spans="1:17">
      <c r="A13" s="51" t="s">
        <v>498</v>
      </c>
      <c r="B13" s="126">
        <v>12297</v>
      </c>
      <c r="C13" s="122">
        <v>12302</v>
      </c>
      <c r="D13" s="144" t="s">
        <v>595</v>
      </c>
      <c r="E13" s="126">
        <v>11133</v>
      </c>
      <c r="F13" s="83" t="s">
        <v>596</v>
      </c>
      <c r="G13" s="144" t="s">
        <v>597</v>
      </c>
      <c r="H13" s="75" t="s">
        <v>598</v>
      </c>
      <c r="I13" s="122">
        <v>11121</v>
      </c>
      <c r="J13" s="144" t="s">
        <v>411</v>
      </c>
      <c r="K13" s="126">
        <v>11252</v>
      </c>
      <c r="L13" s="122">
        <v>11475</v>
      </c>
      <c r="M13" s="144" t="s">
        <v>424</v>
      </c>
      <c r="N13" s="126">
        <v>11843</v>
      </c>
      <c r="O13" s="122">
        <v>11836</v>
      </c>
      <c r="P13" s="144" t="s">
        <v>565</v>
      </c>
      <c r="Q13" s="145">
        <v>11827</v>
      </c>
    </row>
    <row r="14" spans="1:17">
      <c r="A14" s="51" t="s">
        <v>137</v>
      </c>
      <c r="B14" s="75" t="s">
        <v>599</v>
      </c>
      <c r="C14" s="83" t="s">
        <v>600</v>
      </c>
      <c r="D14" s="144" t="s">
        <v>236</v>
      </c>
      <c r="E14" s="75" t="s">
        <v>601</v>
      </c>
      <c r="F14" s="83" t="s">
        <v>602</v>
      </c>
      <c r="G14" s="144" t="s">
        <v>236</v>
      </c>
      <c r="H14" s="75" t="s">
        <v>603</v>
      </c>
      <c r="I14" s="83" t="s">
        <v>604</v>
      </c>
      <c r="J14" s="144" t="s">
        <v>473</v>
      </c>
      <c r="K14" s="75" t="s">
        <v>605</v>
      </c>
      <c r="L14" s="83" t="s">
        <v>566</v>
      </c>
      <c r="M14" s="144" t="s">
        <v>399</v>
      </c>
      <c r="N14" s="75" t="s">
        <v>55</v>
      </c>
      <c r="O14" s="83" t="s">
        <v>606</v>
      </c>
      <c r="P14" s="144" t="s">
        <v>240</v>
      </c>
      <c r="Q14" s="76" t="s">
        <v>33</v>
      </c>
    </row>
    <row r="15" spans="1:17">
      <c r="A15" s="51" t="s">
        <v>138</v>
      </c>
      <c r="B15" s="75" t="s">
        <v>582</v>
      </c>
      <c r="C15" s="83" t="s">
        <v>81</v>
      </c>
      <c r="D15" s="144" t="s">
        <v>545</v>
      </c>
      <c r="E15" s="75" t="s">
        <v>607</v>
      </c>
      <c r="F15" s="83" t="s">
        <v>608</v>
      </c>
      <c r="G15" s="144" t="s">
        <v>236</v>
      </c>
      <c r="H15" s="75" t="s">
        <v>106</v>
      </c>
      <c r="I15" s="83" t="s">
        <v>82</v>
      </c>
      <c r="J15" s="144" t="s">
        <v>473</v>
      </c>
      <c r="K15" s="75" t="s">
        <v>609</v>
      </c>
      <c r="L15" s="83" t="s">
        <v>101</v>
      </c>
      <c r="M15" s="144" t="s">
        <v>578</v>
      </c>
      <c r="N15" s="75" t="s">
        <v>2</v>
      </c>
      <c r="O15" s="83" t="s">
        <v>82</v>
      </c>
      <c r="P15" s="144" t="s">
        <v>545</v>
      </c>
      <c r="Q15" s="76" t="s">
        <v>34</v>
      </c>
    </row>
    <row r="16" spans="1:17">
      <c r="A16" s="51" t="s">
        <v>139</v>
      </c>
      <c r="B16" s="126">
        <v>3493</v>
      </c>
      <c r="C16" s="122">
        <v>3674</v>
      </c>
      <c r="D16" s="144">
        <v>0</v>
      </c>
      <c r="E16" s="126">
        <v>3713</v>
      </c>
      <c r="F16" s="122">
        <v>3623</v>
      </c>
      <c r="G16" s="144">
        <v>0</v>
      </c>
      <c r="H16" s="126">
        <v>3659</v>
      </c>
      <c r="I16" s="122">
        <v>3602</v>
      </c>
      <c r="J16" s="144" t="s">
        <v>610</v>
      </c>
      <c r="K16" s="126">
        <v>3409</v>
      </c>
      <c r="L16" s="122">
        <v>3601</v>
      </c>
      <c r="M16" s="144" t="s">
        <v>611</v>
      </c>
      <c r="N16" s="126">
        <v>3685</v>
      </c>
      <c r="O16" s="83" t="s">
        <v>612</v>
      </c>
      <c r="P16" s="144">
        <v>0.02</v>
      </c>
      <c r="Q16" s="145">
        <v>3568</v>
      </c>
    </row>
    <row r="17" spans="1:17">
      <c r="A17" s="51" t="s">
        <v>140</v>
      </c>
      <c r="B17" s="75" t="s">
        <v>582</v>
      </c>
      <c r="C17" s="83" t="s">
        <v>96</v>
      </c>
      <c r="D17" s="144">
        <v>0</v>
      </c>
      <c r="E17" s="75" t="s">
        <v>36</v>
      </c>
      <c r="F17" s="83" t="s">
        <v>36</v>
      </c>
      <c r="G17" s="144" t="s">
        <v>254</v>
      </c>
      <c r="H17" s="75" t="s">
        <v>19</v>
      </c>
      <c r="I17" s="83" t="s">
        <v>37</v>
      </c>
      <c r="J17" s="144" t="s">
        <v>369</v>
      </c>
      <c r="K17" s="75" t="s">
        <v>613</v>
      </c>
      <c r="L17" s="83" t="s">
        <v>95</v>
      </c>
      <c r="M17" s="144" t="s">
        <v>305</v>
      </c>
      <c r="N17" s="75" t="s">
        <v>112</v>
      </c>
      <c r="O17" s="83" t="s">
        <v>109</v>
      </c>
      <c r="P17" s="144" t="s">
        <v>467</v>
      </c>
      <c r="Q17" s="76" t="s">
        <v>35</v>
      </c>
    </row>
    <row r="18" spans="1:17">
      <c r="A18" s="51" t="s">
        <v>141</v>
      </c>
      <c r="B18" s="75" t="s">
        <v>614</v>
      </c>
      <c r="C18" s="83" t="s">
        <v>608</v>
      </c>
      <c r="D18" s="144" t="s">
        <v>256</v>
      </c>
      <c r="E18" s="75" t="s">
        <v>581</v>
      </c>
      <c r="F18" s="83" t="s">
        <v>581</v>
      </c>
      <c r="G18" s="144" t="s">
        <v>615</v>
      </c>
      <c r="H18" s="75" t="s">
        <v>616</v>
      </c>
      <c r="I18" s="83" t="s">
        <v>617</v>
      </c>
      <c r="J18" s="144" t="s">
        <v>584</v>
      </c>
      <c r="K18" s="75" t="s">
        <v>76</v>
      </c>
      <c r="L18" s="83" t="s">
        <v>618</v>
      </c>
      <c r="M18" s="144" t="s">
        <v>461</v>
      </c>
      <c r="N18" s="75" t="s">
        <v>619</v>
      </c>
      <c r="O18" s="83" t="s">
        <v>620</v>
      </c>
      <c r="P18" s="144">
        <v>0.01</v>
      </c>
      <c r="Q18" s="76" t="s">
        <v>36</v>
      </c>
    </row>
    <row r="19" spans="1:17">
      <c r="A19" s="52" t="s">
        <v>142</v>
      </c>
      <c r="B19" s="77" t="s">
        <v>590</v>
      </c>
      <c r="C19" s="78" t="s">
        <v>36</v>
      </c>
      <c r="D19" s="18">
        <v>0</v>
      </c>
      <c r="E19" s="77" t="s">
        <v>621</v>
      </c>
      <c r="F19" s="78" t="s">
        <v>622</v>
      </c>
      <c r="G19" s="18" t="s">
        <v>361</v>
      </c>
      <c r="H19" s="77" t="s">
        <v>24</v>
      </c>
      <c r="I19" s="78" t="s">
        <v>623</v>
      </c>
      <c r="J19" s="18" t="s">
        <v>297</v>
      </c>
      <c r="K19" s="77" t="s">
        <v>559</v>
      </c>
      <c r="L19" s="78" t="s">
        <v>47</v>
      </c>
      <c r="M19" s="18" t="s">
        <v>624</v>
      </c>
      <c r="N19" s="77" t="s">
        <v>625</v>
      </c>
      <c r="O19" s="78" t="s">
        <v>626</v>
      </c>
      <c r="P19" s="18" t="s">
        <v>627</v>
      </c>
      <c r="Q19" s="79" t="s">
        <v>38</v>
      </c>
    </row>
    <row r="22" spans="1:17">
      <c r="A22" s="97" t="s">
        <v>67</v>
      </c>
      <c r="B22" s="90" t="s">
        <v>149</v>
      </c>
      <c r="C22" s="91"/>
      <c r="D22" s="92"/>
      <c r="E22" s="90" t="s">
        <v>150</v>
      </c>
      <c r="F22" s="91"/>
      <c r="G22" s="92"/>
      <c r="H22" s="90" t="s">
        <v>151</v>
      </c>
      <c r="I22" s="91"/>
      <c r="J22" s="92"/>
      <c r="K22" s="90" t="s">
        <v>152</v>
      </c>
      <c r="L22" s="91"/>
      <c r="M22" s="92"/>
      <c r="N22" s="90" t="s">
        <v>153</v>
      </c>
      <c r="O22" s="91"/>
      <c r="P22" s="92"/>
      <c r="Q22" s="85" t="s">
        <v>143</v>
      </c>
    </row>
    <row r="23" spans="1:17">
      <c r="A23" s="98"/>
      <c r="B23" s="93"/>
      <c r="C23" s="96"/>
      <c r="D23" s="95"/>
      <c r="E23" s="93"/>
      <c r="F23" s="96"/>
      <c r="G23" s="95"/>
      <c r="H23" s="93"/>
      <c r="I23" s="96"/>
      <c r="J23" s="95"/>
      <c r="K23" s="93"/>
      <c r="L23" s="96"/>
      <c r="M23" s="95"/>
      <c r="N23" s="93"/>
      <c r="O23" s="96"/>
      <c r="P23" s="95"/>
      <c r="Q23" s="86"/>
    </row>
    <row r="24" spans="1:17" ht="17" thickBot="1">
      <c r="A24" s="84"/>
      <c r="B24" s="80"/>
      <c r="C24" s="81" t="s">
        <v>154</v>
      </c>
      <c r="D24" s="82"/>
      <c r="E24" s="75"/>
      <c r="F24" s="81" t="s">
        <v>155</v>
      </c>
      <c r="G24" s="76"/>
      <c r="H24" s="75"/>
      <c r="I24" s="13" t="s">
        <v>156</v>
      </c>
      <c r="J24" s="76"/>
      <c r="K24" s="75"/>
      <c r="L24" s="13" t="s">
        <v>157</v>
      </c>
      <c r="M24" s="76"/>
      <c r="N24" s="75"/>
      <c r="O24" s="13" t="s">
        <v>158</v>
      </c>
      <c r="P24" s="76"/>
      <c r="Q24" s="86"/>
    </row>
    <row r="25" spans="1:17" ht="17" thickTop="1">
      <c r="A25" s="143" t="s">
        <v>128</v>
      </c>
      <c r="B25" s="14" t="s">
        <v>0</v>
      </c>
      <c r="C25" s="15" t="s">
        <v>1</v>
      </c>
      <c r="D25" s="16" t="s">
        <v>129</v>
      </c>
      <c r="E25" s="14" t="s">
        <v>0</v>
      </c>
      <c r="F25" s="15" t="s">
        <v>1</v>
      </c>
      <c r="G25" s="16" t="s">
        <v>129</v>
      </c>
      <c r="H25" s="14" t="s">
        <v>0</v>
      </c>
      <c r="I25" s="15" t="s">
        <v>1</v>
      </c>
      <c r="J25" s="16" t="s">
        <v>129</v>
      </c>
      <c r="K25" s="14" t="s">
        <v>0</v>
      </c>
      <c r="L25" s="15" t="s">
        <v>1</v>
      </c>
      <c r="M25" s="16" t="s">
        <v>129</v>
      </c>
      <c r="N25" s="14" t="s">
        <v>0</v>
      </c>
      <c r="O25" s="15" t="s">
        <v>1</v>
      </c>
      <c r="P25" s="16" t="s">
        <v>129</v>
      </c>
      <c r="Q25" s="87"/>
    </row>
    <row r="26" spans="1:17">
      <c r="A26" s="51" t="s">
        <v>130</v>
      </c>
      <c r="B26" s="126">
        <v>9698</v>
      </c>
      <c r="C26" s="122">
        <v>9623</v>
      </c>
      <c r="D26" s="144" t="s">
        <v>231</v>
      </c>
      <c r="E26" s="126">
        <v>7014</v>
      </c>
      <c r="F26" s="122">
        <v>7228</v>
      </c>
      <c r="G26" s="144" t="s">
        <v>296</v>
      </c>
      <c r="H26" s="126">
        <v>8415</v>
      </c>
      <c r="I26" s="122">
        <v>8901</v>
      </c>
      <c r="J26" s="144">
        <v>0</v>
      </c>
      <c r="K26" s="126">
        <v>7933</v>
      </c>
      <c r="L26" s="122">
        <v>8121</v>
      </c>
      <c r="M26" s="144" t="s">
        <v>628</v>
      </c>
      <c r="N26" s="126">
        <v>6861</v>
      </c>
      <c r="O26" s="122">
        <v>7277</v>
      </c>
      <c r="P26" s="144" t="s">
        <v>611</v>
      </c>
      <c r="Q26" s="145">
        <v>8209</v>
      </c>
    </row>
    <row r="27" spans="1:17">
      <c r="A27" s="51" t="s">
        <v>497</v>
      </c>
      <c r="B27" s="126">
        <v>-3982</v>
      </c>
      <c r="C27" s="122">
        <v>-4079</v>
      </c>
      <c r="D27" s="144" t="s">
        <v>402</v>
      </c>
      <c r="E27" s="126">
        <v>-5159</v>
      </c>
      <c r="F27" s="122">
        <v>-5072</v>
      </c>
      <c r="G27" s="144" t="s">
        <v>297</v>
      </c>
      <c r="H27" s="126">
        <v>-5067</v>
      </c>
      <c r="I27" s="122">
        <v>-4692</v>
      </c>
      <c r="J27" s="144" t="s">
        <v>568</v>
      </c>
      <c r="K27" s="126">
        <v>-4932</v>
      </c>
      <c r="L27" s="122">
        <v>-4936</v>
      </c>
      <c r="M27" s="144" t="s">
        <v>294</v>
      </c>
      <c r="N27" s="126">
        <v>-5299</v>
      </c>
      <c r="O27" s="122">
        <v>-5051</v>
      </c>
      <c r="P27" s="144" t="s">
        <v>259</v>
      </c>
      <c r="Q27" s="76" t="s">
        <v>550</v>
      </c>
    </row>
    <row r="28" spans="1:17">
      <c r="A28" s="51" t="s">
        <v>551</v>
      </c>
      <c r="B28" s="75" t="s">
        <v>37</v>
      </c>
      <c r="C28" s="83" t="s">
        <v>80</v>
      </c>
      <c r="D28" s="144" t="s">
        <v>584</v>
      </c>
      <c r="E28" s="75" t="s">
        <v>119</v>
      </c>
      <c r="F28" s="83" t="s">
        <v>629</v>
      </c>
      <c r="G28" s="144" t="s">
        <v>369</v>
      </c>
      <c r="H28" s="75" t="s">
        <v>4</v>
      </c>
      <c r="I28" s="83" t="s">
        <v>98</v>
      </c>
      <c r="J28" s="144" t="s">
        <v>628</v>
      </c>
      <c r="K28" s="75" t="s">
        <v>27</v>
      </c>
      <c r="L28" s="83" t="s">
        <v>100</v>
      </c>
      <c r="M28" s="144" t="s">
        <v>553</v>
      </c>
      <c r="N28" s="75" t="s">
        <v>630</v>
      </c>
      <c r="O28" s="83" t="s">
        <v>631</v>
      </c>
      <c r="P28" s="144" t="s">
        <v>632</v>
      </c>
      <c r="Q28" s="76" t="s">
        <v>11</v>
      </c>
    </row>
    <row r="29" spans="1:17">
      <c r="A29" s="51" t="s">
        <v>132</v>
      </c>
      <c r="B29" s="75" t="s">
        <v>60</v>
      </c>
      <c r="C29" s="83" t="s">
        <v>29</v>
      </c>
      <c r="D29" s="144" t="s">
        <v>278</v>
      </c>
      <c r="E29" s="75" t="s">
        <v>633</v>
      </c>
      <c r="F29" s="83" t="s">
        <v>634</v>
      </c>
      <c r="G29" s="144" t="s">
        <v>635</v>
      </c>
      <c r="H29" s="75" t="s">
        <v>636</v>
      </c>
      <c r="I29" s="83" t="s">
        <v>637</v>
      </c>
      <c r="J29" s="144" t="s">
        <v>265</v>
      </c>
      <c r="K29" s="75" t="s">
        <v>638</v>
      </c>
      <c r="L29" s="83" t="s">
        <v>639</v>
      </c>
      <c r="M29" s="144">
        <v>0.06</v>
      </c>
      <c r="N29" s="75" t="s">
        <v>640</v>
      </c>
      <c r="O29" s="83" t="s">
        <v>641</v>
      </c>
      <c r="P29" s="144" t="s">
        <v>642</v>
      </c>
      <c r="Q29" s="76" t="s">
        <v>29</v>
      </c>
    </row>
    <row r="30" spans="1:17">
      <c r="A30" s="51" t="s">
        <v>133</v>
      </c>
      <c r="B30" s="75" t="s">
        <v>62</v>
      </c>
      <c r="C30" s="83" t="s">
        <v>643</v>
      </c>
      <c r="D30" s="144" t="s">
        <v>278</v>
      </c>
      <c r="E30" s="75" t="s">
        <v>116</v>
      </c>
      <c r="F30" s="83" t="s">
        <v>644</v>
      </c>
      <c r="G30" s="144" t="s">
        <v>422</v>
      </c>
      <c r="H30" s="75" t="s">
        <v>645</v>
      </c>
      <c r="I30" s="83" t="s">
        <v>634</v>
      </c>
      <c r="J30" s="144">
        <v>0</v>
      </c>
      <c r="K30" s="75" t="s">
        <v>646</v>
      </c>
      <c r="L30" s="83" t="s">
        <v>647</v>
      </c>
      <c r="M30" s="144" t="s">
        <v>648</v>
      </c>
      <c r="N30" s="75" t="s">
        <v>649</v>
      </c>
      <c r="O30" s="83" t="s">
        <v>650</v>
      </c>
      <c r="P30" s="144">
        <v>0.16</v>
      </c>
      <c r="Q30" s="76" t="s">
        <v>30</v>
      </c>
    </row>
    <row r="31" spans="1:17">
      <c r="A31" s="51" t="s">
        <v>134</v>
      </c>
      <c r="B31" s="75" t="s">
        <v>47</v>
      </c>
      <c r="C31" s="83" t="s">
        <v>651</v>
      </c>
      <c r="D31" s="144" t="s">
        <v>439</v>
      </c>
      <c r="E31" s="75" t="s">
        <v>581</v>
      </c>
      <c r="F31" s="83" t="s">
        <v>617</v>
      </c>
      <c r="G31" s="144" t="s">
        <v>422</v>
      </c>
      <c r="H31" s="75" t="s">
        <v>618</v>
      </c>
      <c r="I31" s="83" t="s">
        <v>652</v>
      </c>
      <c r="J31" s="144" t="s">
        <v>403</v>
      </c>
      <c r="K31" s="75" t="s">
        <v>622</v>
      </c>
      <c r="L31" s="83" t="s">
        <v>559</v>
      </c>
      <c r="M31" s="144" t="s">
        <v>635</v>
      </c>
      <c r="N31" s="75" t="s">
        <v>31</v>
      </c>
      <c r="O31" s="83" t="s">
        <v>81</v>
      </c>
      <c r="P31" s="144" t="s">
        <v>248</v>
      </c>
      <c r="Q31" s="76" t="s">
        <v>31</v>
      </c>
    </row>
    <row r="32" spans="1:17">
      <c r="A32" s="51" t="s">
        <v>135</v>
      </c>
      <c r="B32" s="75" t="s">
        <v>14</v>
      </c>
      <c r="C32" s="83" t="s">
        <v>26</v>
      </c>
      <c r="D32" s="144">
        <v>0.09</v>
      </c>
      <c r="E32" s="75" t="s">
        <v>653</v>
      </c>
      <c r="F32" s="83" t="s">
        <v>110</v>
      </c>
      <c r="G32" s="144" t="s">
        <v>624</v>
      </c>
      <c r="H32" s="75" t="s">
        <v>654</v>
      </c>
      <c r="I32" s="83" t="s">
        <v>97</v>
      </c>
      <c r="J32" s="144" t="s">
        <v>655</v>
      </c>
      <c r="K32" s="75" t="s">
        <v>614</v>
      </c>
      <c r="L32" s="83" t="s">
        <v>656</v>
      </c>
      <c r="M32" s="144">
        <v>0.02</v>
      </c>
      <c r="N32" s="75" t="s">
        <v>25</v>
      </c>
      <c r="O32" s="83" t="s">
        <v>657</v>
      </c>
      <c r="P32" s="144" t="s">
        <v>385</v>
      </c>
      <c r="Q32" s="76" t="s">
        <v>32</v>
      </c>
    </row>
    <row r="33" spans="1:17">
      <c r="A33" s="51" t="s">
        <v>136</v>
      </c>
      <c r="B33" s="126">
        <v>1426</v>
      </c>
      <c r="C33" s="122">
        <v>1484</v>
      </c>
      <c r="D33" s="144" t="s">
        <v>658</v>
      </c>
      <c r="E33" s="75" t="s">
        <v>659</v>
      </c>
      <c r="F33" s="83" t="s">
        <v>660</v>
      </c>
      <c r="G33" s="144">
        <v>0</v>
      </c>
      <c r="H33" s="75" t="s">
        <v>659</v>
      </c>
      <c r="I33" s="122">
        <v>1158</v>
      </c>
      <c r="J33" s="144" t="s">
        <v>246</v>
      </c>
      <c r="K33" s="75" t="s">
        <v>659</v>
      </c>
      <c r="L33" s="122">
        <v>1199</v>
      </c>
      <c r="M33" s="144" t="s">
        <v>399</v>
      </c>
      <c r="N33" s="75" t="s">
        <v>659</v>
      </c>
      <c r="O33" s="122">
        <v>1092</v>
      </c>
      <c r="P33" s="144" t="s">
        <v>236</v>
      </c>
      <c r="Q33" s="145">
        <v>1044</v>
      </c>
    </row>
    <row r="34" spans="1:17">
      <c r="A34" s="51" t="s">
        <v>498</v>
      </c>
      <c r="B34" s="126">
        <v>12631</v>
      </c>
      <c r="C34" s="122">
        <v>12672</v>
      </c>
      <c r="D34" s="144" t="s">
        <v>279</v>
      </c>
      <c r="E34" s="126">
        <v>11186</v>
      </c>
      <c r="F34" s="122">
        <v>11339</v>
      </c>
      <c r="G34" s="144" t="s">
        <v>615</v>
      </c>
      <c r="H34" s="126">
        <v>12431</v>
      </c>
      <c r="I34" s="83" t="s">
        <v>661</v>
      </c>
      <c r="J34" s="144" t="s">
        <v>472</v>
      </c>
      <c r="K34" s="126">
        <v>11809</v>
      </c>
      <c r="L34" s="122">
        <v>11922</v>
      </c>
      <c r="M34" s="144">
        <v>7.0000000000000007E-2</v>
      </c>
      <c r="N34" s="126">
        <v>11081</v>
      </c>
      <c r="O34" s="122">
        <v>11152</v>
      </c>
      <c r="P34" s="144" t="s">
        <v>662</v>
      </c>
      <c r="Q34" s="145">
        <v>11827</v>
      </c>
    </row>
    <row r="35" spans="1:17">
      <c r="A35" s="51" t="s">
        <v>137</v>
      </c>
      <c r="B35" s="75" t="s">
        <v>65</v>
      </c>
      <c r="C35" s="83" t="s">
        <v>663</v>
      </c>
      <c r="D35" s="144" t="s">
        <v>250</v>
      </c>
      <c r="E35" s="75" t="s">
        <v>664</v>
      </c>
      <c r="F35" s="83" t="s">
        <v>665</v>
      </c>
      <c r="G35" s="144" t="s">
        <v>666</v>
      </c>
      <c r="H35" s="75" t="s">
        <v>667</v>
      </c>
      <c r="I35" s="83" t="s">
        <v>668</v>
      </c>
      <c r="J35" s="144" t="s">
        <v>568</v>
      </c>
      <c r="K35" s="75" t="s">
        <v>669</v>
      </c>
      <c r="L35" s="83" t="s">
        <v>670</v>
      </c>
      <c r="M35" s="144" t="s">
        <v>261</v>
      </c>
      <c r="N35" s="75" t="s">
        <v>671</v>
      </c>
      <c r="O35" s="83" t="s">
        <v>672</v>
      </c>
      <c r="P35" s="144" t="s">
        <v>422</v>
      </c>
      <c r="Q35" s="76" t="s">
        <v>33</v>
      </c>
    </row>
    <row r="36" spans="1:17">
      <c r="A36" s="51" t="s">
        <v>138</v>
      </c>
      <c r="B36" s="75" t="s">
        <v>39</v>
      </c>
      <c r="C36" s="83" t="s">
        <v>45</v>
      </c>
      <c r="D36" s="144" t="s">
        <v>230</v>
      </c>
      <c r="E36" s="75" t="s">
        <v>47</v>
      </c>
      <c r="F36" s="83" t="s">
        <v>47</v>
      </c>
      <c r="G36" s="144" t="s">
        <v>267</v>
      </c>
      <c r="H36" s="75" t="s">
        <v>17</v>
      </c>
      <c r="I36" s="83" t="s">
        <v>12</v>
      </c>
      <c r="J36" s="144" t="s">
        <v>673</v>
      </c>
      <c r="K36" s="75" t="s">
        <v>39</v>
      </c>
      <c r="L36" s="83" t="s">
        <v>674</v>
      </c>
      <c r="M36" s="144" t="s">
        <v>375</v>
      </c>
      <c r="N36" s="75" t="s">
        <v>38</v>
      </c>
      <c r="O36" s="83" t="s">
        <v>675</v>
      </c>
      <c r="P36" s="144">
        <v>0</v>
      </c>
      <c r="Q36" s="76" t="s">
        <v>34</v>
      </c>
    </row>
    <row r="37" spans="1:17">
      <c r="A37" s="51" t="s">
        <v>139</v>
      </c>
      <c r="B37" s="126">
        <v>3446</v>
      </c>
      <c r="C37" s="122">
        <v>3496</v>
      </c>
      <c r="D37" s="144" t="s">
        <v>385</v>
      </c>
      <c r="E37" s="126">
        <v>3468</v>
      </c>
      <c r="F37" s="122">
        <v>3639</v>
      </c>
      <c r="G37" s="144" t="s">
        <v>236</v>
      </c>
      <c r="H37" s="126">
        <v>3444</v>
      </c>
      <c r="I37" s="122">
        <v>3463</v>
      </c>
      <c r="J37" s="144" t="s">
        <v>676</v>
      </c>
      <c r="K37" s="126">
        <v>3429</v>
      </c>
      <c r="L37" s="122">
        <v>3485</v>
      </c>
      <c r="M37" s="144" t="s">
        <v>429</v>
      </c>
      <c r="N37" s="126">
        <v>3528</v>
      </c>
      <c r="O37" s="122">
        <v>3536</v>
      </c>
      <c r="P37" s="144">
        <v>0.19</v>
      </c>
      <c r="Q37" s="145">
        <v>3568</v>
      </c>
    </row>
    <row r="38" spans="1:17">
      <c r="A38" s="51" t="s">
        <v>140</v>
      </c>
      <c r="B38" s="75" t="s">
        <v>677</v>
      </c>
      <c r="C38" s="83" t="s">
        <v>92</v>
      </c>
      <c r="D38" s="144" t="s">
        <v>278</v>
      </c>
      <c r="E38" s="75" t="s">
        <v>104</v>
      </c>
      <c r="F38" s="83" t="s">
        <v>609</v>
      </c>
      <c r="G38" s="144" t="s">
        <v>678</v>
      </c>
      <c r="H38" s="75" t="s">
        <v>557</v>
      </c>
      <c r="I38" s="83" t="s">
        <v>679</v>
      </c>
      <c r="J38" s="144" t="s">
        <v>296</v>
      </c>
      <c r="K38" s="75" t="s">
        <v>10</v>
      </c>
      <c r="L38" s="83" t="s">
        <v>582</v>
      </c>
      <c r="M38" s="144" t="s">
        <v>680</v>
      </c>
      <c r="N38" s="75" t="s">
        <v>681</v>
      </c>
      <c r="O38" s="83" t="s">
        <v>109</v>
      </c>
      <c r="P38" s="144" t="s">
        <v>467</v>
      </c>
      <c r="Q38" s="76" t="s">
        <v>35</v>
      </c>
    </row>
    <row r="39" spans="1:17">
      <c r="A39" s="51" t="s">
        <v>141</v>
      </c>
      <c r="B39" s="75" t="s">
        <v>76</v>
      </c>
      <c r="C39" s="83" t="s">
        <v>89</v>
      </c>
      <c r="D39" s="144" t="s">
        <v>682</v>
      </c>
      <c r="E39" s="75" t="s">
        <v>582</v>
      </c>
      <c r="F39" s="83" t="s">
        <v>112</v>
      </c>
      <c r="G39" s="144">
        <v>0.01</v>
      </c>
      <c r="H39" s="75" t="s">
        <v>683</v>
      </c>
      <c r="I39" s="83" t="s">
        <v>684</v>
      </c>
      <c r="J39" s="144" t="s">
        <v>434</v>
      </c>
      <c r="K39" s="75" t="s">
        <v>45</v>
      </c>
      <c r="L39" s="83" t="s">
        <v>34</v>
      </c>
      <c r="M39" s="144" t="s">
        <v>685</v>
      </c>
      <c r="N39" s="75" t="s">
        <v>556</v>
      </c>
      <c r="O39" s="83" t="s">
        <v>72</v>
      </c>
      <c r="P39" s="144" t="s">
        <v>244</v>
      </c>
      <c r="Q39" s="76" t="s">
        <v>36</v>
      </c>
    </row>
    <row r="40" spans="1:17">
      <c r="A40" s="52" t="s">
        <v>142</v>
      </c>
      <c r="B40" s="77" t="s">
        <v>686</v>
      </c>
      <c r="C40" s="78" t="s">
        <v>12</v>
      </c>
      <c r="D40" s="18" t="s">
        <v>385</v>
      </c>
      <c r="E40" s="77" t="s">
        <v>651</v>
      </c>
      <c r="F40" s="78" t="s">
        <v>608</v>
      </c>
      <c r="G40" s="18" t="s">
        <v>272</v>
      </c>
      <c r="H40" s="77" t="s">
        <v>622</v>
      </c>
      <c r="I40" s="78" t="s">
        <v>614</v>
      </c>
      <c r="J40" s="18" t="s">
        <v>268</v>
      </c>
      <c r="K40" s="77" t="s">
        <v>111</v>
      </c>
      <c r="L40" s="78" t="s">
        <v>75</v>
      </c>
      <c r="M40" s="18">
        <v>7.0000000000000007E-2</v>
      </c>
      <c r="N40" s="77" t="s">
        <v>687</v>
      </c>
      <c r="O40" s="78" t="s">
        <v>674</v>
      </c>
      <c r="P40" s="18" t="s">
        <v>413</v>
      </c>
      <c r="Q40" s="79" t="s">
        <v>38</v>
      </c>
    </row>
    <row r="41" spans="1:17">
      <c r="A41" s="97"/>
      <c r="B41" s="90" t="s">
        <v>159</v>
      </c>
      <c r="C41" s="91"/>
      <c r="D41" s="92"/>
      <c r="E41" s="90" t="s">
        <v>160</v>
      </c>
      <c r="F41" s="91"/>
      <c r="G41" s="92"/>
      <c r="H41" s="90" t="s">
        <v>161</v>
      </c>
      <c r="I41" s="91"/>
      <c r="J41" s="92"/>
      <c r="K41" s="90" t="s">
        <v>162</v>
      </c>
      <c r="L41" s="91"/>
      <c r="M41" s="92"/>
      <c r="N41" s="90" t="s">
        <v>163</v>
      </c>
      <c r="O41" s="91"/>
      <c r="P41" s="92"/>
      <c r="Q41" s="85" t="s">
        <v>143</v>
      </c>
    </row>
    <row r="42" spans="1:17">
      <c r="A42" s="98"/>
      <c r="B42" s="93"/>
      <c r="C42" s="96"/>
      <c r="D42" s="95"/>
      <c r="E42" s="93"/>
      <c r="F42" s="96"/>
      <c r="G42" s="95"/>
      <c r="H42" s="93"/>
      <c r="I42" s="96"/>
      <c r="J42" s="95"/>
      <c r="K42" s="93"/>
      <c r="L42" s="96"/>
      <c r="M42" s="95"/>
      <c r="N42" s="93"/>
      <c r="O42" s="96"/>
      <c r="P42" s="95"/>
      <c r="Q42" s="86"/>
    </row>
    <row r="43" spans="1:17" ht="17" thickBot="1">
      <c r="A43" s="84"/>
      <c r="B43" s="75"/>
      <c r="C43" s="13" t="s">
        <v>164</v>
      </c>
      <c r="D43" s="76"/>
      <c r="E43" s="75"/>
      <c r="F43" s="13" t="s">
        <v>165</v>
      </c>
      <c r="G43" s="76"/>
      <c r="H43" s="75"/>
      <c r="I43" s="13" t="s">
        <v>166</v>
      </c>
      <c r="J43" s="76"/>
      <c r="K43" s="75"/>
      <c r="L43" s="13" t="s">
        <v>167</v>
      </c>
      <c r="M43" s="76"/>
      <c r="N43" s="75"/>
      <c r="O43" s="13" t="s">
        <v>168</v>
      </c>
      <c r="P43" s="76"/>
      <c r="Q43" s="86"/>
    </row>
    <row r="44" spans="1:17" ht="17" thickTop="1">
      <c r="A44" s="143" t="s">
        <v>128</v>
      </c>
      <c r="B44" s="14" t="s">
        <v>0</v>
      </c>
      <c r="C44" s="15" t="s">
        <v>1</v>
      </c>
      <c r="D44" s="16" t="s">
        <v>129</v>
      </c>
      <c r="E44" s="14" t="s">
        <v>0</v>
      </c>
      <c r="F44" s="15" t="s">
        <v>1</v>
      </c>
      <c r="G44" s="16" t="s">
        <v>129</v>
      </c>
      <c r="H44" s="14" t="s">
        <v>0</v>
      </c>
      <c r="I44" s="15" t="s">
        <v>1</v>
      </c>
      <c r="J44" s="16" t="s">
        <v>129</v>
      </c>
      <c r="K44" s="14" t="s">
        <v>0</v>
      </c>
      <c r="L44" s="15" t="s">
        <v>1</v>
      </c>
      <c r="M44" s="16" t="s">
        <v>129</v>
      </c>
      <c r="N44" s="14" t="s">
        <v>0</v>
      </c>
      <c r="O44" s="15" t="s">
        <v>1</v>
      </c>
      <c r="P44" s="16" t="s">
        <v>129</v>
      </c>
      <c r="Q44" s="87"/>
    </row>
    <row r="45" spans="1:17">
      <c r="A45" s="51" t="s">
        <v>130</v>
      </c>
      <c r="B45" s="126">
        <v>7585</v>
      </c>
      <c r="C45" s="122">
        <v>7603</v>
      </c>
      <c r="D45" s="144" t="s">
        <v>688</v>
      </c>
      <c r="E45" s="126">
        <v>7671</v>
      </c>
      <c r="F45" s="122">
        <v>7713</v>
      </c>
      <c r="G45" s="144" t="s">
        <v>399</v>
      </c>
      <c r="H45" s="126">
        <v>6101</v>
      </c>
      <c r="I45" s="122">
        <v>6913</v>
      </c>
      <c r="J45" s="144" t="s">
        <v>256</v>
      </c>
      <c r="K45" s="75">
        <v>7</v>
      </c>
      <c r="L45" s="122">
        <v>7442</v>
      </c>
      <c r="M45" s="144" t="s">
        <v>287</v>
      </c>
      <c r="N45" s="126">
        <v>7143</v>
      </c>
      <c r="O45" s="122">
        <v>7812</v>
      </c>
      <c r="P45" s="144">
        <v>0</v>
      </c>
      <c r="Q45" s="145">
        <v>8209</v>
      </c>
    </row>
    <row r="46" spans="1:17">
      <c r="A46" s="51" t="s">
        <v>497</v>
      </c>
      <c r="B46" s="126">
        <v>-5047</v>
      </c>
      <c r="C46" s="122">
        <v>-5036</v>
      </c>
      <c r="D46" s="144" t="s">
        <v>389</v>
      </c>
      <c r="E46" s="126">
        <v>-5165</v>
      </c>
      <c r="F46" s="122">
        <v>-5173</v>
      </c>
      <c r="G46" s="144" t="s">
        <v>288</v>
      </c>
      <c r="H46" s="126">
        <v>-5711</v>
      </c>
      <c r="I46" s="122">
        <v>-5112</v>
      </c>
      <c r="J46" s="144" t="s">
        <v>244</v>
      </c>
      <c r="K46" s="126">
        <v>-5098</v>
      </c>
      <c r="L46" s="122">
        <v>-4714</v>
      </c>
      <c r="M46" s="144" t="s">
        <v>610</v>
      </c>
      <c r="N46" s="126">
        <v>-5026</v>
      </c>
      <c r="O46" s="122">
        <v>-4715</v>
      </c>
      <c r="P46" s="144">
        <v>0</v>
      </c>
      <c r="Q46" s="76" t="s">
        <v>550</v>
      </c>
    </row>
    <row r="47" spans="1:17">
      <c r="A47" s="51" t="s">
        <v>551</v>
      </c>
      <c r="B47" s="75" t="s">
        <v>689</v>
      </c>
      <c r="C47" s="83" t="s">
        <v>85</v>
      </c>
      <c r="D47" s="144" t="s">
        <v>472</v>
      </c>
      <c r="E47" s="75" t="s">
        <v>583</v>
      </c>
      <c r="F47" s="83" t="s">
        <v>570</v>
      </c>
      <c r="G47" s="144" t="s">
        <v>615</v>
      </c>
      <c r="H47" s="75" t="s">
        <v>61</v>
      </c>
      <c r="I47" s="83" t="s">
        <v>571</v>
      </c>
      <c r="J47" s="144">
        <v>0.04</v>
      </c>
      <c r="K47" s="75" t="s">
        <v>690</v>
      </c>
      <c r="L47" s="83" t="s">
        <v>691</v>
      </c>
      <c r="M47" s="144" t="s">
        <v>254</v>
      </c>
      <c r="N47" s="75" t="s">
        <v>11</v>
      </c>
      <c r="O47" s="83" t="s">
        <v>585</v>
      </c>
      <c r="P47" s="144" t="s">
        <v>692</v>
      </c>
      <c r="Q47" s="76" t="s">
        <v>11</v>
      </c>
    </row>
    <row r="48" spans="1:17">
      <c r="A48" s="51" t="s">
        <v>132</v>
      </c>
      <c r="B48" s="75" t="s">
        <v>693</v>
      </c>
      <c r="C48" s="83" t="s">
        <v>694</v>
      </c>
      <c r="D48" s="144">
        <v>0.04</v>
      </c>
      <c r="E48" s="75" t="s">
        <v>570</v>
      </c>
      <c r="F48" s="83" t="s">
        <v>695</v>
      </c>
      <c r="G48" s="144">
        <v>0.17</v>
      </c>
      <c r="H48" s="75" t="s">
        <v>696</v>
      </c>
      <c r="I48" s="83" t="s">
        <v>697</v>
      </c>
      <c r="J48" s="144" t="s">
        <v>236</v>
      </c>
      <c r="K48" s="75" t="s">
        <v>698</v>
      </c>
      <c r="L48" s="83" t="s">
        <v>699</v>
      </c>
      <c r="M48" s="144">
        <v>0.08</v>
      </c>
      <c r="N48" s="75" t="s">
        <v>700</v>
      </c>
      <c r="O48" s="83" t="s">
        <v>701</v>
      </c>
      <c r="P48" s="144" t="s">
        <v>702</v>
      </c>
      <c r="Q48" s="76" t="s">
        <v>29</v>
      </c>
    </row>
    <row r="49" spans="1:20">
      <c r="A49" s="51" t="s">
        <v>133</v>
      </c>
      <c r="B49" s="75" t="s">
        <v>703</v>
      </c>
      <c r="C49" s="83" t="s">
        <v>555</v>
      </c>
      <c r="D49" s="144">
        <v>0.04</v>
      </c>
      <c r="E49" s="75" t="s">
        <v>704</v>
      </c>
      <c r="F49" s="83" t="s">
        <v>114</v>
      </c>
      <c r="G49" s="144" t="s">
        <v>705</v>
      </c>
      <c r="H49" s="75" t="s">
        <v>649</v>
      </c>
      <c r="I49" s="83" t="s">
        <v>706</v>
      </c>
      <c r="J49" s="144" t="s">
        <v>707</v>
      </c>
      <c r="K49" s="75" t="s">
        <v>708</v>
      </c>
      <c r="L49" s="83" t="s">
        <v>708</v>
      </c>
      <c r="M49" s="144" t="s">
        <v>287</v>
      </c>
      <c r="N49" s="75" t="s">
        <v>686</v>
      </c>
      <c r="O49" s="83" t="s">
        <v>709</v>
      </c>
      <c r="P49" s="144" t="s">
        <v>263</v>
      </c>
      <c r="Q49" s="76" t="s">
        <v>30</v>
      </c>
    </row>
    <row r="50" spans="1:20">
      <c r="A50" s="51" t="s">
        <v>134</v>
      </c>
      <c r="B50" s="75" t="s">
        <v>581</v>
      </c>
      <c r="C50" s="83" t="s">
        <v>617</v>
      </c>
      <c r="D50" s="144" t="s">
        <v>246</v>
      </c>
      <c r="E50" s="75" t="s">
        <v>616</v>
      </c>
      <c r="F50" s="83" t="s">
        <v>651</v>
      </c>
      <c r="G50" s="144">
        <v>0</v>
      </c>
      <c r="H50" s="75" t="s">
        <v>35</v>
      </c>
      <c r="I50" s="83" t="s">
        <v>18</v>
      </c>
      <c r="J50" s="144" t="s">
        <v>266</v>
      </c>
      <c r="K50" s="75" t="s">
        <v>31</v>
      </c>
      <c r="L50" s="83" t="s">
        <v>27</v>
      </c>
      <c r="M50" s="144">
        <v>0</v>
      </c>
      <c r="N50" s="75" t="s">
        <v>710</v>
      </c>
      <c r="O50" s="83" t="s">
        <v>710</v>
      </c>
      <c r="P50" s="144" t="s">
        <v>711</v>
      </c>
      <c r="Q50" s="76" t="s">
        <v>31</v>
      </c>
    </row>
    <row r="51" spans="1:20">
      <c r="A51" s="51" t="s">
        <v>135</v>
      </c>
      <c r="B51" s="75" t="s">
        <v>712</v>
      </c>
      <c r="C51" s="83" t="s">
        <v>110</v>
      </c>
      <c r="D51" s="144" t="s">
        <v>296</v>
      </c>
      <c r="E51" s="75" t="s">
        <v>76</v>
      </c>
      <c r="F51" s="83" t="s">
        <v>14</v>
      </c>
      <c r="G51" s="144" t="s">
        <v>702</v>
      </c>
      <c r="H51" s="75" t="s">
        <v>85</v>
      </c>
      <c r="I51" s="83" t="s">
        <v>686</v>
      </c>
      <c r="J51" s="144" t="s">
        <v>713</v>
      </c>
      <c r="K51" s="75" t="s">
        <v>675</v>
      </c>
      <c r="L51" s="83" t="s">
        <v>714</v>
      </c>
      <c r="M51" s="144">
        <v>0.18</v>
      </c>
      <c r="N51" s="75" t="s">
        <v>652</v>
      </c>
      <c r="O51" s="83" t="s">
        <v>11</v>
      </c>
      <c r="P51" s="144" t="s">
        <v>299</v>
      </c>
      <c r="Q51" s="76" t="s">
        <v>32</v>
      </c>
    </row>
    <row r="52" spans="1:20">
      <c r="A52" s="51" t="s">
        <v>136</v>
      </c>
      <c r="B52" s="75" t="s">
        <v>659</v>
      </c>
      <c r="C52" s="83" t="s">
        <v>715</v>
      </c>
      <c r="D52" s="144" t="s">
        <v>467</v>
      </c>
      <c r="E52" s="75" t="s">
        <v>659</v>
      </c>
      <c r="F52" s="83" t="s">
        <v>716</v>
      </c>
      <c r="G52" s="144" t="s">
        <v>244</v>
      </c>
      <c r="H52" s="75" t="s">
        <v>659</v>
      </c>
      <c r="I52" s="83" t="s">
        <v>717</v>
      </c>
      <c r="J52" s="144" t="s">
        <v>250</v>
      </c>
      <c r="K52" s="75" t="s">
        <v>659</v>
      </c>
      <c r="L52" s="122">
        <v>1308</v>
      </c>
      <c r="M52" s="144" t="s">
        <v>545</v>
      </c>
      <c r="N52" s="75" t="s">
        <v>659</v>
      </c>
      <c r="O52" s="83" t="s">
        <v>718</v>
      </c>
      <c r="P52" s="144" t="s">
        <v>439</v>
      </c>
      <c r="Q52" s="145">
        <v>1044</v>
      </c>
    </row>
    <row r="53" spans="1:20">
      <c r="A53" s="51" t="s">
        <v>498</v>
      </c>
      <c r="B53" s="126">
        <v>11648</v>
      </c>
      <c r="C53" s="83" t="s">
        <v>719</v>
      </c>
      <c r="D53" s="144" t="s">
        <v>705</v>
      </c>
      <c r="E53" s="126">
        <v>11807</v>
      </c>
      <c r="F53" s="122">
        <v>11834</v>
      </c>
      <c r="G53" s="144" t="s">
        <v>642</v>
      </c>
      <c r="H53" s="75" t="s">
        <v>720</v>
      </c>
      <c r="I53" s="122">
        <v>10893</v>
      </c>
      <c r="J53" s="144" t="s">
        <v>721</v>
      </c>
      <c r="K53" s="126">
        <v>11035</v>
      </c>
      <c r="L53" s="122">
        <v>11139</v>
      </c>
      <c r="M53" s="144" t="s">
        <v>722</v>
      </c>
      <c r="N53" s="126">
        <v>11254</v>
      </c>
      <c r="O53" s="122">
        <v>11422</v>
      </c>
      <c r="P53" s="144" t="s">
        <v>435</v>
      </c>
      <c r="Q53" s="145">
        <v>11827</v>
      </c>
    </row>
    <row r="54" spans="1:20">
      <c r="A54" s="51" t="s">
        <v>137</v>
      </c>
      <c r="B54" s="75" t="s">
        <v>723</v>
      </c>
      <c r="C54" s="83" t="s">
        <v>724</v>
      </c>
      <c r="D54" s="144" t="s">
        <v>278</v>
      </c>
      <c r="E54" s="75" t="s">
        <v>725</v>
      </c>
      <c r="F54" s="83" t="s">
        <v>122</v>
      </c>
      <c r="G54" s="144" t="s">
        <v>244</v>
      </c>
      <c r="H54" s="75" t="s">
        <v>726</v>
      </c>
      <c r="I54" s="83" t="s">
        <v>727</v>
      </c>
      <c r="J54" s="144" t="s">
        <v>244</v>
      </c>
      <c r="K54" s="75" t="s">
        <v>728</v>
      </c>
      <c r="L54" s="83" t="s">
        <v>729</v>
      </c>
      <c r="M54" s="144" t="s">
        <v>429</v>
      </c>
      <c r="N54" s="75" t="s">
        <v>730</v>
      </c>
      <c r="O54" s="83" t="s">
        <v>731</v>
      </c>
      <c r="P54" s="144" t="s">
        <v>258</v>
      </c>
      <c r="Q54" s="76" t="s">
        <v>33</v>
      </c>
    </row>
    <row r="55" spans="1:20">
      <c r="A55" s="51" t="s">
        <v>138</v>
      </c>
      <c r="B55" s="75" t="s">
        <v>17</v>
      </c>
      <c r="C55" s="83" t="s">
        <v>72</v>
      </c>
      <c r="D55" s="144" t="s">
        <v>468</v>
      </c>
      <c r="E55" s="75" t="s">
        <v>81</v>
      </c>
      <c r="F55" s="83" t="s">
        <v>39</v>
      </c>
      <c r="G55" s="144" t="s">
        <v>611</v>
      </c>
      <c r="H55" s="75" t="s">
        <v>17</v>
      </c>
      <c r="I55" s="83" t="s">
        <v>579</v>
      </c>
      <c r="J55" s="144">
        <v>0</v>
      </c>
      <c r="K55" s="75" t="s">
        <v>579</v>
      </c>
      <c r="L55" s="83" t="s">
        <v>674</v>
      </c>
      <c r="M55" s="144">
        <v>0</v>
      </c>
      <c r="N55" s="75" t="s">
        <v>101</v>
      </c>
      <c r="O55" s="83" t="s">
        <v>38</v>
      </c>
      <c r="P55" s="144">
        <v>0</v>
      </c>
      <c r="Q55" s="76" t="s">
        <v>34</v>
      </c>
    </row>
    <row r="56" spans="1:20">
      <c r="A56" s="51" t="s">
        <v>139</v>
      </c>
      <c r="B56" s="126">
        <v>3506</v>
      </c>
      <c r="C56" s="122">
        <v>3603</v>
      </c>
      <c r="D56" s="144">
        <v>0</v>
      </c>
      <c r="E56" s="126">
        <v>3467</v>
      </c>
      <c r="F56" s="122">
        <v>3504</v>
      </c>
      <c r="G56" s="144" t="s">
        <v>259</v>
      </c>
      <c r="H56" s="126">
        <v>3574</v>
      </c>
      <c r="I56" s="122">
        <v>3537</v>
      </c>
      <c r="J56" s="144" t="s">
        <v>265</v>
      </c>
      <c r="K56" s="126">
        <v>3467</v>
      </c>
      <c r="L56" s="122">
        <v>3571</v>
      </c>
      <c r="M56" s="144" t="s">
        <v>545</v>
      </c>
      <c r="N56" s="126">
        <v>3561</v>
      </c>
      <c r="O56" s="122">
        <v>3557</v>
      </c>
      <c r="P56" s="144" t="s">
        <v>435</v>
      </c>
      <c r="Q56" s="145">
        <v>3568</v>
      </c>
    </row>
    <row r="57" spans="1:20">
      <c r="A57" s="51" t="s">
        <v>140</v>
      </c>
      <c r="B57" s="75" t="s">
        <v>23</v>
      </c>
      <c r="C57" s="83" t="s">
        <v>732</v>
      </c>
      <c r="D57" s="144">
        <v>0.1</v>
      </c>
      <c r="E57" s="75" t="s">
        <v>43</v>
      </c>
      <c r="F57" s="83" t="s">
        <v>58</v>
      </c>
      <c r="G57" s="144" t="s">
        <v>702</v>
      </c>
      <c r="H57" s="75" t="s">
        <v>733</v>
      </c>
      <c r="I57" s="83" t="s">
        <v>92</v>
      </c>
      <c r="J57" s="144" t="s">
        <v>413</v>
      </c>
      <c r="K57" s="75" t="s">
        <v>616</v>
      </c>
      <c r="L57" s="83" t="s">
        <v>734</v>
      </c>
      <c r="M57" s="144" t="s">
        <v>240</v>
      </c>
      <c r="N57" s="75" t="s">
        <v>733</v>
      </c>
      <c r="O57" s="83" t="s">
        <v>95</v>
      </c>
      <c r="P57" s="144">
        <v>0</v>
      </c>
      <c r="Q57" s="76" t="s">
        <v>35</v>
      </c>
    </row>
    <row r="58" spans="1:20">
      <c r="A58" s="51" t="s">
        <v>141</v>
      </c>
      <c r="B58" s="75" t="s">
        <v>21</v>
      </c>
      <c r="C58" s="83" t="s">
        <v>557</v>
      </c>
      <c r="D58" s="144" t="s">
        <v>244</v>
      </c>
      <c r="E58" s="75" t="s">
        <v>677</v>
      </c>
      <c r="F58" s="83" t="s">
        <v>625</v>
      </c>
      <c r="G58" s="144" t="s">
        <v>372</v>
      </c>
      <c r="H58" s="75" t="s">
        <v>38</v>
      </c>
      <c r="I58" s="83" t="s">
        <v>617</v>
      </c>
      <c r="J58" s="144" t="s">
        <v>735</v>
      </c>
      <c r="K58" s="75" t="s">
        <v>656</v>
      </c>
      <c r="L58" s="83" t="s">
        <v>581</v>
      </c>
      <c r="M58" s="144" t="s">
        <v>399</v>
      </c>
      <c r="N58" s="75" t="s">
        <v>736</v>
      </c>
      <c r="O58" s="83" t="s">
        <v>619</v>
      </c>
      <c r="P58" s="144" t="s">
        <v>285</v>
      </c>
      <c r="Q58" s="76" t="s">
        <v>36</v>
      </c>
    </row>
    <row r="59" spans="1:20">
      <c r="A59" s="52" t="s">
        <v>142</v>
      </c>
      <c r="B59" s="77" t="s">
        <v>99</v>
      </c>
      <c r="C59" s="78" t="s">
        <v>19</v>
      </c>
      <c r="D59" s="18" t="s">
        <v>238</v>
      </c>
      <c r="E59" s="77" t="s">
        <v>111</v>
      </c>
      <c r="F59" s="78" t="s">
        <v>111</v>
      </c>
      <c r="G59" s="18">
        <v>0.1</v>
      </c>
      <c r="H59" s="77" t="s">
        <v>79</v>
      </c>
      <c r="I59" s="78" t="s">
        <v>710</v>
      </c>
      <c r="J59" s="18">
        <v>0</v>
      </c>
      <c r="K59" s="77" t="s">
        <v>737</v>
      </c>
      <c r="L59" s="78" t="s">
        <v>22</v>
      </c>
      <c r="M59" s="18" t="s">
        <v>558</v>
      </c>
      <c r="N59" s="77" t="s">
        <v>27</v>
      </c>
      <c r="O59" s="78" t="s">
        <v>98</v>
      </c>
      <c r="P59" s="18">
        <v>0.09</v>
      </c>
      <c r="Q59" s="79" t="s">
        <v>38</v>
      </c>
    </row>
    <row r="63" spans="1:20" ht="16" customHeight="1">
      <c r="A63" s="97" t="s">
        <v>68</v>
      </c>
      <c r="B63" s="90" t="s">
        <v>169</v>
      </c>
      <c r="C63" s="91"/>
      <c r="D63" s="92"/>
      <c r="E63" s="90" t="s">
        <v>170</v>
      </c>
      <c r="F63" s="91"/>
      <c r="G63" s="92"/>
      <c r="H63" s="90" t="s">
        <v>171</v>
      </c>
      <c r="I63" s="91"/>
      <c r="J63" s="92"/>
      <c r="K63" s="90" t="s">
        <v>172</v>
      </c>
      <c r="L63" s="91"/>
      <c r="M63" s="92"/>
      <c r="N63" s="90" t="s">
        <v>173</v>
      </c>
      <c r="O63" s="91"/>
      <c r="P63" s="92"/>
      <c r="Q63" s="90" t="s">
        <v>371</v>
      </c>
      <c r="R63" s="91"/>
      <c r="S63" s="92"/>
      <c r="T63" s="85" t="s">
        <v>143</v>
      </c>
    </row>
    <row r="64" spans="1:20">
      <c r="A64" s="98"/>
      <c r="B64" s="93"/>
      <c r="C64" s="96"/>
      <c r="D64" s="95"/>
      <c r="E64" s="93"/>
      <c r="F64" s="96"/>
      <c r="G64" s="95"/>
      <c r="H64" s="93"/>
      <c r="I64" s="96"/>
      <c r="J64" s="95"/>
      <c r="K64" s="93"/>
      <c r="L64" s="96"/>
      <c r="M64" s="95"/>
      <c r="N64" s="93"/>
      <c r="O64" s="96"/>
      <c r="P64" s="95"/>
      <c r="Q64" s="93"/>
      <c r="R64" s="96"/>
      <c r="S64" s="95"/>
      <c r="T64" s="86"/>
    </row>
    <row r="65" spans="1:20" ht="17" thickBot="1">
      <c r="A65" s="84"/>
      <c r="B65" s="80"/>
      <c r="C65" s="81" t="s">
        <v>174</v>
      </c>
      <c r="D65" s="82"/>
      <c r="E65" s="75"/>
      <c r="F65" s="81" t="s">
        <v>175</v>
      </c>
      <c r="G65" s="76"/>
      <c r="H65" s="75"/>
      <c r="I65" s="13" t="s">
        <v>176</v>
      </c>
      <c r="J65" s="76"/>
      <c r="K65" s="75"/>
      <c r="L65" s="13" t="s">
        <v>177</v>
      </c>
      <c r="M65" s="76"/>
      <c r="N65" s="75"/>
      <c r="O65" s="13" t="s">
        <v>178</v>
      </c>
      <c r="P65" s="76"/>
      <c r="Q65" s="75"/>
      <c r="R65" s="13" t="s">
        <v>179</v>
      </c>
      <c r="S65" s="76"/>
      <c r="T65" s="86"/>
    </row>
    <row r="66" spans="1:20" ht="17" thickTop="1">
      <c r="A66" s="143" t="s">
        <v>128</v>
      </c>
      <c r="B66" s="14" t="s">
        <v>0</v>
      </c>
      <c r="C66" s="15" t="s">
        <v>1</v>
      </c>
      <c r="D66" s="16" t="s">
        <v>129</v>
      </c>
      <c r="E66" s="14" t="s">
        <v>0</v>
      </c>
      <c r="F66" s="15" t="s">
        <v>1</v>
      </c>
      <c r="G66" s="16" t="s">
        <v>129</v>
      </c>
      <c r="H66" s="14" t="s">
        <v>0</v>
      </c>
      <c r="I66" s="15" t="s">
        <v>1</v>
      </c>
      <c r="J66" s="16" t="s">
        <v>129</v>
      </c>
      <c r="K66" s="14" t="s">
        <v>0</v>
      </c>
      <c r="L66" s="15" t="s">
        <v>1</v>
      </c>
      <c r="M66" s="16" t="s">
        <v>129</v>
      </c>
      <c r="N66" s="14" t="s">
        <v>0</v>
      </c>
      <c r="O66" s="15" t="s">
        <v>1</v>
      </c>
      <c r="P66" s="16" t="s">
        <v>129</v>
      </c>
      <c r="Q66" s="14" t="s">
        <v>0</v>
      </c>
      <c r="R66" s="15" t="s">
        <v>1</v>
      </c>
      <c r="S66" s="16" t="s">
        <v>129</v>
      </c>
      <c r="T66" s="87"/>
    </row>
    <row r="67" spans="1:20">
      <c r="A67" s="51" t="s">
        <v>130</v>
      </c>
      <c r="B67" s="126">
        <v>7831</v>
      </c>
      <c r="C67" s="122">
        <v>8721</v>
      </c>
      <c r="D67" s="144" t="s">
        <v>545</v>
      </c>
      <c r="E67" s="126">
        <v>7624</v>
      </c>
      <c r="F67" s="83" t="s">
        <v>738</v>
      </c>
      <c r="G67" s="144">
        <v>0.01</v>
      </c>
      <c r="H67" s="75" t="s">
        <v>739</v>
      </c>
      <c r="I67" s="122">
        <v>9226</v>
      </c>
      <c r="J67" s="144" t="s">
        <v>284</v>
      </c>
      <c r="K67" s="126">
        <v>7921</v>
      </c>
      <c r="L67" s="122">
        <v>8198</v>
      </c>
      <c r="M67" s="144" t="s">
        <v>305</v>
      </c>
      <c r="N67" s="126">
        <v>7396</v>
      </c>
      <c r="O67" s="122">
        <v>7435</v>
      </c>
      <c r="P67" s="144" t="s">
        <v>740</v>
      </c>
      <c r="Q67" s="126">
        <v>7454</v>
      </c>
      <c r="R67" s="122">
        <v>8167</v>
      </c>
      <c r="S67" s="144" t="s">
        <v>258</v>
      </c>
      <c r="T67" s="145">
        <v>8209</v>
      </c>
    </row>
    <row r="68" spans="1:20">
      <c r="A68" s="51" t="s">
        <v>497</v>
      </c>
      <c r="B68" s="126">
        <v>-4857</v>
      </c>
      <c r="C68" s="122">
        <v>-4062</v>
      </c>
      <c r="D68" s="144">
        <v>0</v>
      </c>
      <c r="E68" s="126">
        <v>-5242</v>
      </c>
      <c r="F68" s="122">
        <v>-4833</v>
      </c>
      <c r="G68" s="144" t="s">
        <v>565</v>
      </c>
      <c r="H68" s="126">
        <v>-4351</v>
      </c>
      <c r="I68" s="83" t="s">
        <v>741</v>
      </c>
      <c r="J68" s="144" t="s">
        <v>302</v>
      </c>
      <c r="K68" s="126">
        <v>-4884</v>
      </c>
      <c r="L68" s="122">
        <v>-4765</v>
      </c>
      <c r="M68" s="144" t="s">
        <v>360</v>
      </c>
      <c r="N68" s="126">
        <v>-5065</v>
      </c>
      <c r="O68" s="122">
        <v>-5064</v>
      </c>
      <c r="P68" s="144" t="s">
        <v>433</v>
      </c>
      <c r="Q68" s="126">
        <v>-5136</v>
      </c>
      <c r="R68" s="83" t="s">
        <v>742</v>
      </c>
      <c r="S68" s="144" t="s">
        <v>266</v>
      </c>
      <c r="T68" s="76" t="s">
        <v>550</v>
      </c>
    </row>
    <row r="69" spans="1:20">
      <c r="A69" s="51" t="s">
        <v>551</v>
      </c>
      <c r="B69" s="75" t="s">
        <v>581</v>
      </c>
      <c r="C69" s="83" t="s">
        <v>743</v>
      </c>
      <c r="D69" s="144" t="s">
        <v>421</v>
      </c>
      <c r="E69" s="75" t="s">
        <v>744</v>
      </c>
      <c r="F69" s="83" t="s">
        <v>619</v>
      </c>
      <c r="G69" s="144" t="s">
        <v>372</v>
      </c>
      <c r="H69" s="75" t="s">
        <v>5</v>
      </c>
      <c r="I69" s="83" t="s">
        <v>84</v>
      </c>
      <c r="J69" s="144" t="s">
        <v>257</v>
      </c>
      <c r="K69" s="75" t="s">
        <v>745</v>
      </c>
      <c r="L69" s="83" t="s">
        <v>11</v>
      </c>
      <c r="M69" s="144" t="s">
        <v>303</v>
      </c>
      <c r="N69" s="75" t="s">
        <v>85</v>
      </c>
      <c r="O69" s="83" t="s">
        <v>556</v>
      </c>
      <c r="P69" s="144" t="s">
        <v>435</v>
      </c>
      <c r="Q69" s="75" t="s">
        <v>26</v>
      </c>
      <c r="R69" s="83" t="s">
        <v>746</v>
      </c>
      <c r="S69" s="144" t="s">
        <v>248</v>
      </c>
      <c r="T69" s="76" t="s">
        <v>11</v>
      </c>
    </row>
    <row r="70" spans="1:20">
      <c r="A70" s="51" t="s">
        <v>132</v>
      </c>
      <c r="B70" s="75" t="s">
        <v>115</v>
      </c>
      <c r="C70" s="83" t="s">
        <v>695</v>
      </c>
      <c r="D70" s="144" t="s">
        <v>405</v>
      </c>
      <c r="E70" s="75" t="s">
        <v>561</v>
      </c>
      <c r="F70" s="83" t="s">
        <v>747</v>
      </c>
      <c r="G70" s="144" t="s">
        <v>244</v>
      </c>
      <c r="H70" s="75" t="s">
        <v>748</v>
      </c>
      <c r="I70" s="83" t="s">
        <v>749</v>
      </c>
      <c r="J70" s="144" t="s">
        <v>401</v>
      </c>
      <c r="K70" s="75" t="s">
        <v>7</v>
      </c>
      <c r="L70" s="83" t="s">
        <v>750</v>
      </c>
      <c r="M70" s="144" t="s">
        <v>468</v>
      </c>
      <c r="N70" s="75" t="s">
        <v>751</v>
      </c>
      <c r="O70" s="83" t="s">
        <v>752</v>
      </c>
      <c r="P70" s="144" t="s">
        <v>280</v>
      </c>
      <c r="Q70" s="75" t="s">
        <v>752</v>
      </c>
      <c r="R70" s="83" t="s">
        <v>753</v>
      </c>
      <c r="S70" s="144">
        <v>0</v>
      </c>
      <c r="T70" s="76" t="s">
        <v>29</v>
      </c>
    </row>
    <row r="71" spans="1:20">
      <c r="A71" s="51" t="s">
        <v>133</v>
      </c>
      <c r="B71" s="75" t="s">
        <v>754</v>
      </c>
      <c r="C71" s="83" t="s">
        <v>755</v>
      </c>
      <c r="D71" s="144" t="s">
        <v>421</v>
      </c>
      <c r="E71" s="75" t="s">
        <v>755</v>
      </c>
      <c r="F71" s="83" t="s">
        <v>120</v>
      </c>
      <c r="G71" s="144" t="s">
        <v>285</v>
      </c>
      <c r="H71" s="75" t="s">
        <v>756</v>
      </c>
      <c r="I71" s="83" t="s">
        <v>757</v>
      </c>
      <c r="J71" s="144">
        <v>0</v>
      </c>
      <c r="K71" s="75" t="s">
        <v>758</v>
      </c>
      <c r="L71" s="83" t="s">
        <v>641</v>
      </c>
      <c r="M71" s="144" t="s">
        <v>256</v>
      </c>
      <c r="N71" s="75" t="s">
        <v>695</v>
      </c>
      <c r="O71" s="83" t="s">
        <v>759</v>
      </c>
      <c r="P71" s="144" t="s">
        <v>375</v>
      </c>
      <c r="Q71" s="75" t="s">
        <v>727</v>
      </c>
      <c r="R71" s="83" t="s">
        <v>40</v>
      </c>
      <c r="S71" s="144" t="s">
        <v>425</v>
      </c>
      <c r="T71" s="76" t="s">
        <v>30</v>
      </c>
    </row>
    <row r="72" spans="1:20">
      <c r="A72" s="51" t="s">
        <v>134</v>
      </c>
      <c r="B72" s="75" t="s">
        <v>760</v>
      </c>
      <c r="C72" s="83" t="s">
        <v>101</v>
      </c>
      <c r="D72" s="144">
        <v>0</v>
      </c>
      <c r="E72" s="75" t="s">
        <v>112</v>
      </c>
      <c r="F72" s="83" t="s">
        <v>101</v>
      </c>
      <c r="G72" s="144" t="s">
        <v>265</v>
      </c>
      <c r="H72" s="75" t="s">
        <v>72</v>
      </c>
      <c r="I72" s="83" t="s">
        <v>101</v>
      </c>
      <c r="J72" s="144">
        <v>0</v>
      </c>
      <c r="K72" s="75" t="s">
        <v>743</v>
      </c>
      <c r="L72" s="83" t="s">
        <v>81</v>
      </c>
      <c r="M72" s="144" t="s">
        <v>413</v>
      </c>
      <c r="N72" s="75" t="s">
        <v>106</v>
      </c>
      <c r="O72" s="83" t="s">
        <v>607</v>
      </c>
      <c r="P72" s="144" t="s">
        <v>385</v>
      </c>
      <c r="Q72" s="75" t="s">
        <v>99</v>
      </c>
      <c r="R72" s="83" t="s">
        <v>41</v>
      </c>
      <c r="S72" s="144" t="s">
        <v>761</v>
      </c>
      <c r="T72" s="76" t="s">
        <v>31</v>
      </c>
    </row>
    <row r="73" spans="1:20">
      <c r="A73" s="51" t="s">
        <v>135</v>
      </c>
      <c r="B73" s="75" t="s">
        <v>84</v>
      </c>
      <c r="C73" s="83" t="s">
        <v>762</v>
      </c>
      <c r="D73" s="144" t="s">
        <v>385</v>
      </c>
      <c r="E73" s="75" t="s">
        <v>17</v>
      </c>
      <c r="F73" s="83" t="s">
        <v>76</v>
      </c>
      <c r="G73" s="144" t="s">
        <v>424</v>
      </c>
      <c r="H73" s="75" t="s">
        <v>748</v>
      </c>
      <c r="I73" s="83" t="s">
        <v>759</v>
      </c>
      <c r="J73" s="144" t="s">
        <v>628</v>
      </c>
      <c r="K73" s="75" t="s">
        <v>17</v>
      </c>
      <c r="L73" s="83" t="s">
        <v>656</v>
      </c>
      <c r="M73" s="144" t="s">
        <v>575</v>
      </c>
      <c r="N73" s="75" t="s">
        <v>27</v>
      </c>
      <c r="O73" s="83" t="s">
        <v>640</v>
      </c>
      <c r="P73" s="144">
        <v>0</v>
      </c>
      <c r="Q73" s="75" t="s">
        <v>42</v>
      </c>
      <c r="R73" s="83" t="s">
        <v>653</v>
      </c>
      <c r="S73" s="144" t="s">
        <v>658</v>
      </c>
      <c r="T73" s="76" t="s">
        <v>32</v>
      </c>
    </row>
    <row r="74" spans="1:20">
      <c r="A74" s="51" t="s">
        <v>136</v>
      </c>
      <c r="B74" s="75" t="s">
        <v>763</v>
      </c>
      <c r="C74" s="122">
        <v>1672</v>
      </c>
      <c r="D74" s="144" t="s">
        <v>611</v>
      </c>
      <c r="E74" s="75" t="s">
        <v>763</v>
      </c>
      <c r="F74" s="83" t="s">
        <v>764</v>
      </c>
      <c r="G74" s="144" t="s">
        <v>678</v>
      </c>
      <c r="H74" s="75" t="s">
        <v>763</v>
      </c>
      <c r="I74" s="122">
        <v>1084</v>
      </c>
      <c r="J74" s="144" t="s">
        <v>385</v>
      </c>
      <c r="K74" s="75" t="s">
        <v>763</v>
      </c>
      <c r="L74" s="83" t="s">
        <v>765</v>
      </c>
      <c r="M74" s="144" t="s">
        <v>279</v>
      </c>
      <c r="N74" s="75" t="s">
        <v>763</v>
      </c>
      <c r="O74" s="83" t="s">
        <v>766</v>
      </c>
      <c r="P74" s="144" t="s">
        <v>244</v>
      </c>
      <c r="Q74" s="75" t="s">
        <v>763</v>
      </c>
      <c r="R74" s="83" t="s">
        <v>767</v>
      </c>
      <c r="S74" s="144" t="s">
        <v>474</v>
      </c>
      <c r="T74" s="145">
        <v>1044</v>
      </c>
    </row>
    <row r="75" spans="1:20">
      <c r="A75" s="51" t="s">
        <v>498</v>
      </c>
      <c r="B75" s="126">
        <v>11788</v>
      </c>
      <c r="C75" s="122">
        <v>11885</v>
      </c>
      <c r="D75" s="144" t="s">
        <v>287</v>
      </c>
      <c r="E75" s="126">
        <v>11939</v>
      </c>
      <c r="F75" s="122">
        <v>12153</v>
      </c>
      <c r="G75" s="144">
        <v>0</v>
      </c>
      <c r="H75" s="126">
        <v>12626</v>
      </c>
      <c r="I75" s="122">
        <v>12686</v>
      </c>
      <c r="J75" s="144" t="s">
        <v>768</v>
      </c>
      <c r="K75" s="75" t="s">
        <v>769</v>
      </c>
      <c r="L75" s="122">
        <v>11895</v>
      </c>
      <c r="M75" s="144">
        <v>7.0000000000000007E-2</v>
      </c>
      <c r="N75" s="126">
        <v>11463</v>
      </c>
      <c r="O75" s="122">
        <v>11486</v>
      </c>
      <c r="P75" s="144" t="s">
        <v>471</v>
      </c>
      <c r="Q75" s="126">
        <v>11631</v>
      </c>
      <c r="R75" s="122">
        <v>11825</v>
      </c>
      <c r="S75" s="144" t="s">
        <v>232</v>
      </c>
      <c r="T75" s="145">
        <v>11827</v>
      </c>
    </row>
    <row r="76" spans="1:20">
      <c r="A76" s="51" t="s">
        <v>137</v>
      </c>
      <c r="B76" s="75" t="s">
        <v>770</v>
      </c>
      <c r="C76" s="83" t="s">
        <v>771</v>
      </c>
      <c r="D76" s="144" t="s">
        <v>425</v>
      </c>
      <c r="E76" s="75" t="s">
        <v>772</v>
      </c>
      <c r="F76" s="83" t="s">
        <v>773</v>
      </c>
      <c r="G76" s="144" t="s">
        <v>411</v>
      </c>
      <c r="H76" s="75" t="s">
        <v>774</v>
      </c>
      <c r="I76" s="83" t="s">
        <v>775</v>
      </c>
      <c r="J76" s="144" t="s">
        <v>236</v>
      </c>
      <c r="K76" s="75" t="s">
        <v>776</v>
      </c>
      <c r="L76" s="83" t="s">
        <v>777</v>
      </c>
      <c r="M76" s="144" t="s">
        <v>662</v>
      </c>
      <c r="N76" s="75" t="s">
        <v>772</v>
      </c>
      <c r="O76" s="83" t="s">
        <v>778</v>
      </c>
      <c r="P76" s="144">
        <v>0.01</v>
      </c>
      <c r="Q76" s="75" t="s">
        <v>779</v>
      </c>
      <c r="R76" s="83" t="s">
        <v>780</v>
      </c>
      <c r="S76" s="144">
        <v>0.14000000000000001</v>
      </c>
      <c r="T76" s="76" t="s">
        <v>33</v>
      </c>
    </row>
    <row r="77" spans="1:20">
      <c r="A77" s="51" t="s">
        <v>138</v>
      </c>
      <c r="B77" s="75" t="s">
        <v>106</v>
      </c>
      <c r="C77" s="83" t="s">
        <v>781</v>
      </c>
      <c r="D77" s="144" t="s">
        <v>705</v>
      </c>
      <c r="E77" s="75" t="s">
        <v>27</v>
      </c>
      <c r="F77" s="83" t="s">
        <v>101</v>
      </c>
      <c r="G77" s="144" t="s">
        <v>782</v>
      </c>
      <c r="H77" s="75" t="s">
        <v>783</v>
      </c>
      <c r="I77" s="83" t="s">
        <v>10</v>
      </c>
      <c r="J77" s="144" t="s">
        <v>272</v>
      </c>
      <c r="K77" s="75" t="s">
        <v>105</v>
      </c>
      <c r="L77" s="83" t="s">
        <v>12</v>
      </c>
      <c r="M77" s="144" t="s">
        <v>240</v>
      </c>
      <c r="N77" s="75" t="s">
        <v>784</v>
      </c>
      <c r="O77" s="83" t="s">
        <v>36</v>
      </c>
      <c r="P77" s="144" t="s">
        <v>474</v>
      </c>
      <c r="Q77" s="75" t="s">
        <v>607</v>
      </c>
      <c r="R77" s="83" t="s">
        <v>98</v>
      </c>
      <c r="S77" s="144" t="s">
        <v>405</v>
      </c>
      <c r="T77" s="76" t="s">
        <v>34</v>
      </c>
    </row>
    <row r="78" spans="1:20">
      <c r="A78" s="51" t="s">
        <v>139</v>
      </c>
      <c r="B78" s="126">
        <v>3699</v>
      </c>
      <c r="C78" s="122">
        <v>3585</v>
      </c>
      <c r="D78" s="144">
        <v>0</v>
      </c>
      <c r="E78" s="126">
        <v>3574</v>
      </c>
      <c r="F78" s="122">
        <v>3566</v>
      </c>
      <c r="G78" s="144">
        <v>0.01</v>
      </c>
      <c r="H78" s="126">
        <v>3705</v>
      </c>
      <c r="I78" s="83" t="s">
        <v>785</v>
      </c>
      <c r="J78" s="144" t="s">
        <v>786</v>
      </c>
      <c r="K78" s="126">
        <v>3516</v>
      </c>
      <c r="L78" s="122">
        <v>3589</v>
      </c>
      <c r="M78" s="144" t="s">
        <v>261</v>
      </c>
      <c r="N78" s="126">
        <v>3762</v>
      </c>
      <c r="O78" s="122">
        <v>3657</v>
      </c>
      <c r="P78" s="144" t="s">
        <v>240</v>
      </c>
      <c r="Q78" s="126">
        <v>3584</v>
      </c>
      <c r="R78" s="122">
        <v>3622</v>
      </c>
      <c r="S78" s="144">
        <v>0.04</v>
      </c>
      <c r="T78" s="145">
        <v>3568</v>
      </c>
    </row>
    <row r="79" spans="1:20">
      <c r="A79" s="51" t="s">
        <v>140</v>
      </c>
      <c r="B79" s="75" t="s">
        <v>787</v>
      </c>
      <c r="C79" s="83" t="s">
        <v>788</v>
      </c>
      <c r="D79" s="144" t="s">
        <v>376</v>
      </c>
      <c r="E79" s="75" t="s">
        <v>789</v>
      </c>
      <c r="F79" s="83" t="s">
        <v>790</v>
      </c>
      <c r="G79" s="144" t="s">
        <v>678</v>
      </c>
      <c r="H79" s="75" t="s">
        <v>791</v>
      </c>
      <c r="I79" s="83" t="s">
        <v>31</v>
      </c>
      <c r="J79" s="144" t="s">
        <v>261</v>
      </c>
      <c r="K79" s="75" t="s">
        <v>98</v>
      </c>
      <c r="L79" s="83" t="s">
        <v>19</v>
      </c>
      <c r="M79" s="144" t="s">
        <v>408</v>
      </c>
      <c r="N79" s="75" t="s">
        <v>552</v>
      </c>
      <c r="O79" s="83" t="s">
        <v>552</v>
      </c>
      <c r="P79" s="144" t="s">
        <v>245</v>
      </c>
      <c r="Q79" s="75" t="s">
        <v>792</v>
      </c>
      <c r="R79" s="83" t="s">
        <v>793</v>
      </c>
      <c r="S79" s="144" t="s">
        <v>470</v>
      </c>
      <c r="T79" s="76" t="s">
        <v>35</v>
      </c>
    </row>
    <row r="80" spans="1:20">
      <c r="A80" s="51" t="s">
        <v>141</v>
      </c>
      <c r="B80" s="75" t="s">
        <v>656</v>
      </c>
      <c r="C80" s="83" t="s">
        <v>626</v>
      </c>
      <c r="D80" s="144" t="s">
        <v>794</v>
      </c>
      <c r="E80" s="75" t="s">
        <v>618</v>
      </c>
      <c r="F80" s="83" t="s">
        <v>554</v>
      </c>
      <c r="G80" s="144" t="s">
        <v>299</v>
      </c>
      <c r="H80" s="75" t="s">
        <v>653</v>
      </c>
      <c r="I80" s="83" t="s">
        <v>581</v>
      </c>
      <c r="J80" s="144" t="s">
        <v>611</v>
      </c>
      <c r="K80" s="75" t="s">
        <v>89</v>
      </c>
      <c r="L80" s="83" t="s">
        <v>39</v>
      </c>
      <c r="M80" s="144" t="s">
        <v>795</v>
      </c>
      <c r="N80" s="75" t="s">
        <v>651</v>
      </c>
      <c r="O80" s="83" t="s">
        <v>577</v>
      </c>
      <c r="P80" s="144" t="s">
        <v>265</v>
      </c>
      <c r="Q80" s="75" t="s">
        <v>687</v>
      </c>
      <c r="R80" s="83" t="s">
        <v>652</v>
      </c>
      <c r="S80" s="144" t="s">
        <v>416</v>
      </c>
      <c r="T80" s="76" t="s">
        <v>36</v>
      </c>
    </row>
    <row r="81" spans="1:20">
      <c r="A81" s="52" t="s">
        <v>142</v>
      </c>
      <c r="B81" s="77" t="s">
        <v>95</v>
      </c>
      <c r="C81" s="78" t="s">
        <v>37</v>
      </c>
      <c r="D81" s="18" t="s">
        <v>796</v>
      </c>
      <c r="E81" s="77" t="s">
        <v>714</v>
      </c>
      <c r="F81" s="78" t="s">
        <v>621</v>
      </c>
      <c r="G81" s="18" t="s">
        <v>655</v>
      </c>
      <c r="H81" s="77" t="s">
        <v>116</v>
      </c>
      <c r="I81" s="78" t="s">
        <v>683</v>
      </c>
      <c r="J81" s="18" t="s">
        <v>384</v>
      </c>
      <c r="K81" s="77" t="s">
        <v>797</v>
      </c>
      <c r="L81" s="78" t="s">
        <v>641</v>
      </c>
      <c r="M81" s="18" t="s">
        <v>235</v>
      </c>
      <c r="N81" s="77" t="s">
        <v>589</v>
      </c>
      <c r="O81" s="78" t="s">
        <v>110</v>
      </c>
      <c r="P81" s="18">
        <v>0.01</v>
      </c>
      <c r="Q81" s="77" t="s">
        <v>798</v>
      </c>
      <c r="R81" s="78" t="s">
        <v>641</v>
      </c>
      <c r="S81" s="18" t="s">
        <v>254</v>
      </c>
      <c r="T81" s="79" t="s">
        <v>38</v>
      </c>
    </row>
    <row r="84" spans="1:20">
      <c r="A84" s="97" t="s">
        <v>799</v>
      </c>
      <c r="B84" s="90" t="s">
        <v>180</v>
      </c>
      <c r="C84" s="91"/>
      <c r="D84" s="92"/>
      <c r="E84" s="85" t="s">
        <v>143</v>
      </c>
    </row>
    <row r="85" spans="1:20">
      <c r="A85" s="98"/>
      <c r="B85" s="93"/>
      <c r="C85" s="96"/>
      <c r="D85" s="95"/>
      <c r="E85" s="86"/>
    </row>
    <row r="86" spans="1:20" ht="17" thickBot="1">
      <c r="A86" s="84"/>
      <c r="B86" s="80"/>
      <c r="C86" s="81" t="s">
        <v>181</v>
      </c>
      <c r="D86" s="82"/>
      <c r="E86" s="86"/>
    </row>
    <row r="87" spans="1:20" ht="17" thickTop="1">
      <c r="A87" s="143" t="s">
        <v>128</v>
      </c>
      <c r="B87" s="14" t="s">
        <v>0</v>
      </c>
      <c r="C87" s="15" t="s">
        <v>1</v>
      </c>
      <c r="D87" s="16" t="s">
        <v>129</v>
      </c>
      <c r="E87" s="87"/>
    </row>
    <row r="88" spans="1:20">
      <c r="A88" s="51" t="s">
        <v>130</v>
      </c>
      <c r="B88" s="126">
        <v>10239</v>
      </c>
      <c r="C88" s="122">
        <v>8926</v>
      </c>
      <c r="D88" s="144" t="s">
        <v>470</v>
      </c>
      <c r="E88" s="145">
        <v>8209</v>
      </c>
    </row>
    <row r="89" spans="1:20">
      <c r="A89" s="51" t="s">
        <v>497</v>
      </c>
      <c r="B89" s="75" t="s">
        <v>800</v>
      </c>
      <c r="C89" s="122">
        <v>-4423</v>
      </c>
      <c r="D89" s="144" t="s">
        <v>399</v>
      </c>
      <c r="E89" s="76" t="s">
        <v>550</v>
      </c>
    </row>
    <row r="90" spans="1:20">
      <c r="A90" s="51" t="s">
        <v>551</v>
      </c>
      <c r="B90" s="75" t="s">
        <v>784</v>
      </c>
      <c r="C90" s="83" t="s">
        <v>733</v>
      </c>
      <c r="D90" s="144">
        <v>7.0000000000000007E-2</v>
      </c>
      <c r="E90" s="76" t="s">
        <v>11</v>
      </c>
    </row>
    <row r="91" spans="1:20">
      <c r="A91" s="51" t="s">
        <v>132</v>
      </c>
      <c r="B91" s="75" t="s">
        <v>714</v>
      </c>
      <c r="C91" s="83" t="s">
        <v>748</v>
      </c>
      <c r="D91" s="144" t="s">
        <v>429</v>
      </c>
      <c r="E91" s="76" t="s">
        <v>29</v>
      </c>
    </row>
    <row r="92" spans="1:20">
      <c r="A92" s="51" t="s">
        <v>133</v>
      </c>
      <c r="B92" s="75" t="s">
        <v>801</v>
      </c>
      <c r="C92" s="83" t="s">
        <v>693</v>
      </c>
      <c r="D92" s="144" t="s">
        <v>655</v>
      </c>
      <c r="E92" s="76" t="s">
        <v>30</v>
      </c>
    </row>
    <row r="93" spans="1:20">
      <c r="A93" s="51" t="s">
        <v>134</v>
      </c>
      <c r="B93" s="75" t="s">
        <v>39</v>
      </c>
      <c r="C93" s="83" t="s">
        <v>25</v>
      </c>
      <c r="D93" s="144" t="s">
        <v>802</v>
      </c>
      <c r="E93" s="76" t="s">
        <v>31</v>
      </c>
    </row>
    <row r="94" spans="1:20">
      <c r="A94" s="51" t="s">
        <v>135</v>
      </c>
      <c r="B94" s="75" t="s">
        <v>116</v>
      </c>
      <c r="C94" s="83" t="s">
        <v>803</v>
      </c>
      <c r="D94" s="144" t="s">
        <v>261</v>
      </c>
      <c r="E94" s="76" t="s">
        <v>32</v>
      </c>
    </row>
    <row r="95" spans="1:20">
      <c r="A95" s="51" t="s">
        <v>136</v>
      </c>
      <c r="B95" s="75" t="s">
        <v>804</v>
      </c>
      <c r="C95" s="122">
        <v>1702</v>
      </c>
      <c r="D95" s="144" t="s">
        <v>407</v>
      </c>
      <c r="E95" s="145">
        <v>1044</v>
      </c>
    </row>
    <row r="96" spans="1:20">
      <c r="A96" s="51" t="s">
        <v>498</v>
      </c>
      <c r="B96" s="126">
        <v>12424</v>
      </c>
      <c r="C96" s="122">
        <v>12271</v>
      </c>
      <c r="D96" s="144" t="s">
        <v>294</v>
      </c>
      <c r="E96" s="145">
        <v>11827</v>
      </c>
    </row>
    <row r="97" spans="1:8">
      <c r="A97" s="51" t="s">
        <v>137</v>
      </c>
      <c r="B97" s="75" t="s">
        <v>805</v>
      </c>
      <c r="C97" s="83" t="s">
        <v>806</v>
      </c>
      <c r="D97" s="144" t="s">
        <v>303</v>
      </c>
      <c r="E97" s="76" t="s">
        <v>33</v>
      </c>
    </row>
    <row r="98" spans="1:8">
      <c r="A98" s="51" t="s">
        <v>138</v>
      </c>
      <c r="B98" s="75" t="s">
        <v>807</v>
      </c>
      <c r="C98" s="83" t="s">
        <v>803</v>
      </c>
      <c r="D98" s="144" t="s">
        <v>366</v>
      </c>
      <c r="E98" s="76" t="s">
        <v>34</v>
      </c>
    </row>
    <row r="99" spans="1:8">
      <c r="A99" s="51" t="s">
        <v>139</v>
      </c>
      <c r="B99" s="126">
        <v>3088</v>
      </c>
      <c r="C99" s="122">
        <v>3368</v>
      </c>
      <c r="D99" s="144" t="s">
        <v>808</v>
      </c>
      <c r="E99" s="145">
        <v>3568</v>
      </c>
    </row>
    <row r="100" spans="1:8">
      <c r="A100" s="51" t="s">
        <v>140</v>
      </c>
      <c r="B100" s="75" t="s">
        <v>2</v>
      </c>
      <c r="C100" s="83" t="s">
        <v>84</v>
      </c>
      <c r="D100" s="144" t="s">
        <v>702</v>
      </c>
      <c r="E100" s="76" t="s">
        <v>35</v>
      </c>
    </row>
    <row r="101" spans="1:8">
      <c r="A101" s="51" t="s">
        <v>141</v>
      </c>
      <c r="B101" s="75" t="s">
        <v>86</v>
      </c>
      <c r="C101" s="83" t="s">
        <v>809</v>
      </c>
      <c r="D101" s="144" t="s">
        <v>268</v>
      </c>
      <c r="E101" s="76" t="s">
        <v>36</v>
      </c>
    </row>
    <row r="102" spans="1:8">
      <c r="A102" s="52" t="s">
        <v>142</v>
      </c>
      <c r="B102" s="77" t="s">
        <v>37</v>
      </c>
      <c r="C102" s="78" t="s">
        <v>41</v>
      </c>
      <c r="D102" s="18">
        <v>0.1</v>
      </c>
      <c r="E102" s="79" t="s">
        <v>38</v>
      </c>
    </row>
    <row r="105" spans="1:8">
      <c r="A105" s="97" t="s">
        <v>69</v>
      </c>
      <c r="B105" s="90" t="s">
        <v>182</v>
      </c>
      <c r="C105" s="91"/>
      <c r="D105" s="92"/>
      <c r="E105" s="90" t="s">
        <v>183</v>
      </c>
      <c r="F105" s="91"/>
      <c r="G105" s="92"/>
      <c r="H105" s="85" t="s">
        <v>143</v>
      </c>
    </row>
    <row r="106" spans="1:8">
      <c r="A106" s="98"/>
      <c r="B106" s="93"/>
      <c r="C106" s="96"/>
      <c r="D106" s="95"/>
      <c r="E106" s="93"/>
      <c r="F106" s="96"/>
      <c r="G106" s="95"/>
      <c r="H106" s="86"/>
    </row>
    <row r="107" spans="1:8" ht="17" thickBot="1">
      <c r="A107" s="84"/>
      <c r="B107" s="80"/>
      <c r="C107" s="81" t="s">
        <v>184</v>
      </c>
      <c r="D107" s="82"/>
      <c r="E107" s="75"/>
      <c r="F107" s="81" t="s">
        <v>185</v>
      </c>
      <c r="G107" s="76"/>
      <c r="H107" s="86"/>
    </row>
    <row r="108" spans="1:8" ht="17" thickTop="1">
      <c r="A108" s="143" t="s">
        <v>128</v>
      </c>
      <c r="B108" s="14" t="s">
        <v>0</v>
      </c>
      <c r="C108" s="15" t="s">
        <v>1</v>
      </c>
      <c r="D108" s="16" t="s">
        <v>129</v>
      </c>
      <c r="E108" s="14" t="s">
        <v>0</v>
      </c>
      <c r="F108" s="15" t="s">
        <v>1</v>
      </c>
      <c r="G108" s="16" t="s">
        <v>129</v>
      </c>
      <c r="H108" s="87"/>
    </row>
    <row r="109" spans="1:8">
      <c r="A109" s="51" t="s">
        <v>130</v>
      </c>
      <c r="B109" s="75" t="s">
        <v>810</v>
      </c>
      <c r="C109" s="122">
        <v>8742</v>
      </c>
      <c r="D109" s="144" t="s">
        <v>244</v>
      </c>
      <c r="E109" s="126">
        <v>6305</v>
      </c>
      <c r="F109" s="83" t="s">
        <v>811</v>
      </c>
      <c r="G109" s="144" t="s">
        <v>740</v>
      </c>
      <c r="H109" s="145">
        <v>8209</v>
      </c>
    </row>
    <row r="110" spans="1:8">
      <c r="A110" s="51" t="s">
        <v>497</v>
      </c>
      <c r="B110" s="126">
        <v>-3662</v>
      </c>
      <c r="C110" s="122">
        <v>-4064</v>
      </c>
      <c r="D110" s="144">
        <v>0.02</v>
      </c>
      <c r="E110" s="75" t="s">
        <v>812</v>
      </c>
      <c r="F110" s="122">
        <v>-4535</v>
      </c>
      <c r="G110" s="144" t="s">
        <v>397</v>
      </c>
      <c r="H110" s="76" t="s">
        <v>550</v>
      </c>
    </row>
    <row r="111" spans="1:8">
      <c r="A111" s="51" t="s">
        <v>551</v>
      </c>
      <c r="B111" s="75" t="s">
        <v>783</v>
      </c>
      <c r="C111" s="83" t="s">
        <v>652</v>
      </c>
      <c r="D111" s="144" t="s">
        <v>236</v>
      </c>
      <c r="E111" s="75" t="s">
        <v>577</v>
      </c>
      <c r="F111" s="83" t="s">
        <v>119</v>
      </c>
      <c r="G111" s="144" t="s">
        <v>286</v>
      </c>
      <c r="H111" s="76" t="s">
        <v>11</v>
      </c>
    </row>
    <row r="112" spans="1:8">
      <c r="A112" s="51" t="s">
        <v>132</v>
      </c>
      <c r="B112" s="75" t="s">
        <v>571</v>
      </c>
      <c r="C112" s="83" t="s">
        <v>643</v>
      </c>
      <c r="D112" s="144" t="s">
        <v>545</v>
      </c>
      <c r="E112" s="75" t="s">
        <v>706</v>
      </c>
      <c r="F112" s="83" t="s">
        <v>813</v>
      </c>
      <c r="G112" s="144" t="s">
        <v>632</v>
      </c>
      <c r="H112" s="76" t="s">
        <v>29</v>
      </c>
    </row>
    <row r="113" spans="1:20">
      <c r="A113" s="51" t="s">
        <v>133</v>
      </c>
      <c r="B113" s="75" t="s">
        <v>756</v>
      </c>
      <c r="C113" s="83" t="s">
        <v>561</v>
      </c>
      <c r="D113" s="144">
        <v>0</v>
      </c>
      <c r="E113" s="75" t="s">
        <v>814</v>
      </c>
      <c r="F113" s="83" t="s">
        <v>85</v>
      </c>
      <c r="G113" s="144" t="s">
        <v>425</v>
      </c>
      <c r="H113" s="76" t="s">
        <v>30</v>
      </c>
    </row>
    <row r="114" spans="1:20">
      <c r="A114" s="51" t="s">
        <v>134</v>
      </c>
      <c r="B114" s="75" t="s">
        <v>42</v>
      </c>
      <c r="C114" s="83" t="s">
        <v>98</v>
      </c>
      <c r="D114" s="144" t="s">
        <v>267</v>
      </c>
      <c r="E114" s="75" t="s">
        <v>10</v>
      </c>
      <c r="F114" s="83" t="s">
        <v>781</v>
      </c>
      <c r="G114" s="144" t="s">
        <v>692</v>
      </c>
      <c r="H114" s="76" t="s">
        <v>31</v>
      </c>
    </row>
    <row r="115" spans="1:20">
      <c r="A115" s="51" t="s">
        <v>135</v>
      </c>
      <c r="B115" s="75" t="s">
        <v>588</v>
      </c>
      <c r="C115" s="83" t="s">
        <v>588</v>
      </c>
      <c r="D115" s="144" t="s">
        <v>275</v>
      </c>
      <c r="E115" s="75" t="s">
        <v>105</v>
      </c>
      <c r="F115" s="83" t="s">
        <v>592</v>
      </c>
      <c r="G115" s="144" t="s">
        <v>692</v>
      </c>
      <c r="H115" s="76" t="s">
        <v>32</v>
      </c>
    </row>
    <row r="116" spans="1:20">
      <c r="A116" s="51" t="s">
        <v>136</v>
      </c>
      <c r="B116" s="126">
        <v>2287</v>
      </c>
      <c r="C116" s="83" t="s">
        <v>815</v>
      </c>
      <c r="D116" s="144">
        <v>0</v>
      </c>
      <c r="E116" s="126">
        <v>2287</v>
      </c>
      <c r="F116" s="122">
        <v>1975</v>
      </c>
      <c r="G116" s="144" t="s">
        <v>702</v>
      </c>
      <c r="H116" s="145">
        <v>1044</v>
      </c>
    </row>
    <row r="117" spans="1:20">
      <c r="A117" s="51" t="s">
        <v>498</v>
      </c>
      <c r="B117" s="126">
        <v>11721</v>
      </c>
      <c r="C117" s="122">
        <v>11737</v>
      </c>
      <c r="D117" s="144" t="s">
        <v>816</v>
      </c>
      <c r="E117" s="126">
        <v>9236</v>
      </c>
      <c r="F117" s="83" t="s">
        <v>817</v>
      </c>
      <c r="G117" s="144" t="s">
        <v>305</v>
      </c>
      <c r="H117" s="145">
        <v>11827</v>
      </c>
    </row>
    <row r="118" spans="1:20">
      <c r="A118" s="51" t="s">
        <v>137</v>
      </c>
      <c r="B118" s="75" t="s">
        <v>818</v>
      </c>
      <c r="C118" s="83" t="s">
        <v>819</v>
      </c>
      <c r="D118" s="144" t="s">
        <v>248</v>
      </c>
      <c r="E118" s="75" t="s">
        <v>626</v>
      </c>
      <c r="F118" s="83" t="s">
        <v>103</v>
      </c>
      <c r="G118" s="144" t="s">
        <v>296</v>
      </c>
      <c r="H118" s="76" t="s">
        <v>33</v>
      </c>
    </row>
    <row r="119" spans="1:20">
      <c r="A119" s="51" t="s">
        <v>138</v>
      </c>
      <c r="B119" s="75" t="s">
        <v>572</v>
      </c>
      <c r="C119" s="83" t="s">
        <v>74</v>
      </c>
      <c r="D119" s="144">
        <v>0</v>
      </c>
      <c r="E119" s="75" t="s">
        <v>820</v>
      </c>
      <c r="F119" s="83" t="s">
        <v>74</v>
      </c>
      <c r="G119" s="144" t="s">
        <v>385</v>
      </c>
      <c r="H119" s="76" t="s">
        <v>34</v>
      </c>
    </row>
    <row r="120" spans="1:20">
      <c r="A120" s="51" t="s">
        <v>139</v>
      </c>
      <c r="B120" s="126">
        <v>3552</v>
      </c>
      <c r="C120" s="122">
        <v>3551</v>
      </c>
      <c r="D120" s="144">
        <v>0.08</v>
      </c>
      <c r="E120" s="126">
        <v>3499</v>
      </c>
      <c r="F120" s="83" t="s">
        <v>821</v>
      </c>
      <c r="G120" s="144" t="s">
        <v>261</v>
      </c>
      <c r="H120" s="145">
        <v>3568</v>
      </c>
    </row>
    <row r="121" spans="1:20">
      <c r="A121" s="51" t="s">
        <v>140</v>
      </c>
      <c r="B121" s="75" t="s">
        <v>783</v>
      </c>
      <c r="C121" s="83" t="s">
        <v>109</v>
      </c>
      <c r="D121" s="144" t="s">
        <v>553</v>
      </c>
      <c r="E121" s="75" t="s">
        <v>18</v>
      </c>
      <c r="F121" s="83" t="s">
        <v>681</v>
      </c>
      <c r="G121" s="144" t="s">
        <v>275</v>
      </c>
      <c r="H121" s="76" t="s">
        <v>35</v>
      </c>
    </row>
    <row r="122" spans="1:20">
      <c r="A122" s="51" t="s">
        <v>141</v>
      </c>
      <c r="B122" s="75" t="s">
        <v>2</v>
      </c>
      <c r="C122" s="83" t="s">
        <v>104</v>
      </c>
      <c r="D122" s="144" t="s">
        <v>822</v>
      </c>
      <c r="E122" s="75" t="s">
        <v>43</v>
      </c>
      <c r="F122" s="83" t="s">
        <v>104</v>
      </c>
      <c r="G122" s="144" t="s">
        <v>299</v>
      </c>
      <c r="H122" s="76" t="s">
        <v>36</v>
      </c>
    </row>
    <row r="123" spans="1:20">
      <c r="A123" s="52" t="s">
        <v>142</v>
      </c>
      <c r="B123" s="77" t="s">
        <v>73</v>
      </c>
      <c r="C123" s="78" t="s">
        <v>93</v>
      </c>
      <c r="D123" s="18">
        <v>0.2</v>
      </c>
      <c r="E123" s="77" t="s">
        <v>792</v>
      </c>
      <c r="F123" s="78" t="s">
        <v>781</v>
      </c>
      <c r="G123" s="18" t="s">
        <v>258</v>
      </c>
      <c r="H123" s="79" t="s">
        <v>38</v>
      </c>
    </row>
    <row r="126" spans="1:20" ht="16" customHeight="1">
      <c r="A126" s="97" t="s">
        <v>70</v>
      </c>
      <c r="B126" s="90" t="s">
        <v>186</v>
      </c>
      <c r="C126" s="91"/>
      <c r="D126" s="92"/>
      <c r="E126" s="90" t="s">
        <v>187</v>
      </c>
      <c r="F126" s="91"/>
      <c r="G126" s="92"/>
      <c r="H126" s="90" t="s">
        <v>188</v>
      </c>
      <c r="I126" s="91"/>
      <c r="J126" s="92"/>
      <c r="K126" s="90" t="s">
        <v>189</v>
      </c>
      <c r="L126" s="91"/>
      <c r="M126" s="92"/>
      <c r="N126" s="90" t="s">
        <v>190</v>
      </c>
      <c r="O126" s="91"/>
      <c r="P126" s="92"/>
      <c r="Q126" s="90" t="s">
        <v>415</v>
      </c>
      <c r="R126" s="91"/>
      <c r="S126" s="92"/>
      <c r="T126" s="85" t="s">
        <v>143</v>
      </c>
    </row>
    <row r="127" spans="1:20">
      <c r="A127" s="98"/>
      <c r="B127" s="93"/>
      <c r="C127" s="96"/>
      <c r="D127" s="95"/>
      <c r="E127" s="93"/>
      <c r="F127" s="96"/>
      <c r="G127" s="95"/>
      <c r="H127" s="93"/>
      <c r="I127" s="96"/>
      <c r="J127" s="95"/>
      <c r="K127" s="93"/>
      <c r="L127" s="96"/>
      <c r="M127" s="95"/>
      <c r="N127" s="93"/>
      <c r="O127" s="96"/>
      <c r="P127" s="95"/>
      <c r="Q127" s="93"/>
      <c r="R127" s="96"/>
      <c r="S127" s="95"/>
      <c r="T127" s="86"/>
    </row>
    <row r="128" spans="1:20" ht="17" thickBot="1">
      <c r="A128" s="84"/>
      <c r="B128" s="80"/>
      <c r="C128" s="81" t="s">
        <v>191</v>
      </c>
      <c r="D128" s="82"/>
      <c r="E128" s="75"/>
      <c r="F128" s="81" t="s">
        <v>192</v>
      </c>
      <c r="G128" s="76"/>
      <c r="H128" s="75"/>
      <c r="I128" s="13" t="s">
        <v>193</v>
      </c>
      <c r="J128" s="76"/>
      <c r="K128" s="75"/>
      <c r="L128" s="13" t="s">
        <v>194</v>
      </c>
      <c r="M128" s="76"/>
      <c r="N128" s="75"/>
      <c r="O128" s="13" t="s">
        <v>195</v>
      </c>
      <c r="P128" s="76"/>
      <c r="Q128" s="75"/>
      <c r="R128" s="13" t="s">
        <v>196</v>
      </c>
      <c r="S128" s="76"/>
      <c r="T128" s="86"/>
    </row>
    <row r="129" spans="1:20" ht="17" thickTop="1">
      <c r="A129" s="143" t="s">
        <v>128</v>
      </c>
      <c r="B129" s="14" t="s">
        <v>0</v>
      </c>
      <c r="C129" s="15" t="s">
        <v>1</v>
      </c>
      <c r="D129" s="16" t="s">
        <v>129</v>
      </c>
      <c r="E129" s="14" t="s">
        <v>0</v>
      </c>
      <c r="F129" s="15" t="s">
        <v>1</v>
      </c>
      <c r="G129" s="16" t="s">
        <v>129</v>
      </c>
      <c r="H129" s="14" t="s">
        <v>0</v>
      </c>
      <c r="I129" s="15" t="s">
        <v>1</v>
      </c>
      <c r="J129" s="16" t="s">
        <v>129</v>
      </c>
      <c r="K129" s="14" t="s">
        <v>0</v>
      </c>
      <c r="L129" s="15" t="s">
        <v>1</v>
      </c>
      <c r="M129" s="16" t="s">
        <v>129</v>
      </c>
      <c r="N129" s="14" t="s">
        <v>0</v>
      </c>
      <c r="O129" s="15" t="s">
        <v>1</v>
      </c>
      <c r="P129" s="16" t="s">
        <v>129</v>
      </c>
      <c r="Q129" s="14" t="s">
        <v>0</v>
      </c>
      <c r="R129" s="15" t="s">
        <v>1</v>
      </c>
      <c r="S129" s="16" t="s">
        <v>129</v>
      </c>
      <c r="T129" s="87"/>
    </row>
    <row r="130" spans="1:20">
      <c r="A130" s="51" t="s">
        <v>130</v>
      </c>
      <c r="B130" s="126">
        <v>7739</v>
      </c>
      <c r="C130" s="122">
        <v>8069</v>
      </c>
      <c r="D130" s="144" t="s">
        <v>413</v>
      </c>
      <c r="E130" s="126">
        <v>8995</v>
      </c>
      <c r="F130" s="122">
        <v>9023</v>
      </c>
      <c r="G130" s="144" t="s">
        <v>289</v>
      </c>
      <c r="H130" s="126">
        <v>7336</v>
      </c>
      <c r="I130" s="122">
        <v>8156</v>
      </c>
      <c r="J130" s="144" t="s">
        <v>250</v>
      </c>
      <c r="K130" s="126">
        <v>8743</v>
      </c>
      <c r="L130" s="122">
        <v>8757</v>
      </c>
      <c r="M130" s="144" t="s">
        <v>823</v>
      </c>
      <c r="N130" s="126">
        <v>7019</v>
      </c>
      <c r="O130" s="122">
        <v>8706</v>
      </c>
      <c r="P130" s="144">
        <v>0</v>
      </c>
      <c r="Q130" s="126">
        <v>7437</v>
      </c>
      <c r="R130" s="122">
        <v>8428</v>
      </c>
      <c r="S130" s="144" t="s">
        <v>632</v>
      </c>
      <c r="T130" s="145">
        <v>8209</v>
      </c>
    </row>
    <row r="131" spans="1:20">
      <c r="A131" s="51" t="s">
        <v>497</v>
      </c>
      <c r="B131" s="126">
        <v>-3987</v>
      </c>
      <c r="C131" s="122">
        <v>-4118</v>
      </c>
      <c r="D131" s="144" t="s">
        <v>721</v>
      </c>
      <c r="E131" s="75" t="s">
        <v>824</v>
      </c>
      <c r="F131" s="122">
        <v>-3766</v>
      </c>
      <c r="G131" s="144" t="s">
        <v>248</v>
      </c>
      <c r="H131" s="126">
        <v>-3862</v>
      </c>
      <c r="I131" s="122">
        <v>-4139</v>
      </c>
      <c r="J131" s="144" t="s">
        <v>402</v>
      </c>
      <c r="K131" s="126">
        <v>-3681</v>
      </c>
      <c r="L131" s="83" t="s">
        <v>825</v>
      </c>
      <c r="M131" s="144" t="s">
        <v>682</v>
      </c>
      <c r="N131" s="126">
        <v>-4019</v>
      </c>
      <c r="O131" s="122">
        <v>-4059</v>
      </c>
      <c r="P131" s="144" t="s">
        <v>430</v>
      </c>
      <c r="Q131" s="75" t="s">
        <v>826</v>
      </c>
      <c r="R131" s="122">
        <v>-4059</v>
      </c>
      <c r="S131" s="144" t="s">
        <v>827</v>
      </c>
      <c r="T131" s="76" t="s">
        <v>550</v>
      </c>
    </row>
    <row r="132" spans="1:20">
      <c r="A132" s="51" t="s">
        <v>551</v>
      </c>
      <c r="B132" s="75" t="s">
        <v>675</v>
      </c>
      <c r="C132" s="83" t="s">
        <v>79</v>
      </c>
      <c r="D132" s="144" t="s">
        <v>279</v>
      </c>
      <c r="E132" s="75" t="s">
        <v>582</v>
      </c>
      <c r="F132" s="83" t="s">
        <v>737</v>
      </c>
      <c r="G132" s="144" t="s">
        <v>705</v>
      </c>
      <c r="H132" s="75" t="s">
        <v>607</v>
      </c>
      <c r="I132" s="83" t="s">
        <v>12</v>
      </c>
      <c r="J132" s="144" t="s">
        <v>828</v>
      </c>
      <c r="K132" s="75" t="s">
        <v>743</v>
      </c>
      <c r="L132" s="83" t="s">
        <v>616</v>
      </c>
      <c r="M132" s="144" t="s">
        <v>624</v>
      </c>
      <c r="N132" s="75" t="s">
        <v>13</v>
      </c>
      <c r="O132" s="83" t="s">
        <v>743</v>
      </c>
      <c r="P132" s="144" t="s">
        <v>548</v>
      </c>
      <c r="Q132" s="75" t="s">
        <v>579</v>
      </c>
      <c r="R132" s="83" t="s">
        <v>651</v>
      </c>
      <c r="S132" s="144" t="s">
        <v>408</v>
      </c>
      <c r="T132" s="76" t="s">
        <v>11</v>
      </c>
    </row>
    <row r="133" spans="1:20">
      <c r="A133" s="51" t="s">
        <v>132</v>
      </c>
      <c r="B133" s="75" t="s">
        <v>829</v>
      </c>
      <c r="C133" s="83" t="s">
        <v>694</v>
      </c>
      <c r="D133" s="144" t="s">
        <v>655</v>
      </c>
      <c r="E133" s="75" t="s">
        <v>830</v>
      </c>
      <c r="F133" s="83" t="s">
        <v>831</v>
      </c>
      <c r="G133" s="144" t="s">
        <v>434</v>
      </c>
      <c r="H133" s="75" t="s">
        <v>726</v>
      </c>
      <c r="I133" s="83" t="s">
        <v>819</v>
      </c>
      <c r="J133" s="144">
        <v>0</v>
      </c>
      <c r="K133" s="75" t="s">
        <v>832</v>
      </c>
      <c r="L133" s="83" t="s">
        <v>750</v>
      </c>
      <c r="M133" s="144" t="s">
        <v>568</v>
      </c>
      <c r="N133" s="75" t="s">
        <v>833</v>
      </c>
      <c r="O133" s="83" t="s">
        <v>694</v>
      </c>
      <c r="P133" s="144" t="s">
        <v>261</v>
      </c>
      <c r="Q133" s="75" t="s">
        <v>834</v>
      </c>
      <c r="R133" s="83" t="s">
        <v>835</v>
      </c>
      <c r="S133" s="144" t="s">
        <v>385</v>
      </c>
      <c r="T133" s="76" t="s">
        <v>29</v>
      </c>
    </row>
    <row r="134" spans="1:20">
      <c r="A134" s="51" t="s">
        <v>133</v>
      </c>
      <c r="B134" s="75" t="s">
        <v>703</v>
      </c>
      <c r="C134" s="83" t="s">
        <v>560</v>
      </c>
      <c r="D134" s="144" t="s">
        <v>655</v>
      </c>
      <c r="E134" s="75" t="s">
        <v>555</v>
      </c>
      <c r="F134" s="83" t="s">
        <v>759</v>
      </c>
      <c r="G134" s="144">
        <v>0.05</v>
      </c>
      <c r="H134" s="75" t="s">
        <v>85</v>
      </c>
      <c r="I134" s="83" t="s">
        <v>836</v>
      </c>
      <c r="J134" s="144" t="s">
        <v>278</v>
      </c>
      <c r="K134" s="75" t="s">
        <v>649</v>
      </c>
      <c r="L134" s="83" t="s">
        <v>583</v>
      </c>
      <c r="M134" s="144" t="s">
        <v>591</v>
      </c>
      <c r="N134" s="75" t="s">
        <v>623</v>
      </c>
      <c r="O134" s="83" t="s">
        <v>639</v>
      </c>
      <c r="P134" s="144">
        <v>0.03</v>
      </c>
      <c r="Q134" s="75" t="s">
        <v>587</v>
      </c>
      <c r="R134" s="83" t="s">
        <v>592</v>
      </c>
      <c r="S134" s="144">
        <v>0</v>
      </c>
      <c r="T134" s="76" t="s">
        <v>30</v>
      </c>
    </row>
    <row r="135" spans="1:20">
      <c r="A135" s="51" t="s">
        <v>134</v>
      </c>
      <c r="B135" s="75" t="s">
        <v>81</v>
      </c>
      <c r="C135" s="83" t="s">
        <v>616</v>
      </c>
      <c r="D135" s="144" t="s">
        <v>553</v>
      </c>
      <c r="E135" s="75" t="s">
        <v>38</v>
      </c>
      <c r="F135" s="83" t="s">
        <v>82</v>
      </c>
      <c r="G135" s="144" t="s">
        <v>685</v>
      </c>
      <c r="H135" s="75" t="s">
        <v>743</v>
      </c>
      <c r="I135" s="83" t="s">
        <v>675</v>
      </c>
      <c r="J135" s="144">
        <v>0</v>
      </c>
      <c r="K135" s="75" t="s">
        <v>22</v>
      </c>
      <c r="L135" s="83" t="s">
        <v>579</v>
      </c>
      <c r="M135" s="144" t="s">
        <v>558</v>
      </c>
      <c r="N135" s="75" t="s">
        <v>616</v>
      </c>
      <c r="O135" s="83" t="s">
        <v>103</v>
      </c>
      <c r="P135" s="144">
        <v>0</v>
      </c>
      <c r="Q135" s="75" t="s">
        <v>84</v>
      </c>
      <c r="R135" s="83" t="s">
        <v>22</v>
      </c>
      <c r="S135" s="144">
        <v>0</v>
      </c>
      <c r="T135" s="76" t="s">
        <v>31</v>
      </c>
    </row>
    <row r="136" spans="1:20">
      <c r="A136" s="51" t="s">
        <v>135</v>
      </c>
      <c r="B136" s="75" t="s">
        <v>629</v>
      </c>
      <c r="C136" s="83" t="s">
        <v>657</v>
      </c>
      <c r="D136" s="144" t="s">
        <v>676</v>
      </c>
      <c r="E136" s="75" t="s">
        <v>748</v>
      </c>
      <c r="F136" s="83" t="s">
        <v>44</v>
      </c>
      <c r="G136" s="144" t="s">
        <v>256</v>
      </c>
      <c r="H136" s="75" t="s">
        <v>837</v>
      </c>
      <c r="I136" s="83" t="s">
        <v>838</v>
      </c>
      <c r="J136" s="144" t="s">
        <v>246</v>
      </c>
      <c r="K136" s="75" t="s">
        <v>709</v>
      </c>
      <c r="L136" s="83" t="s">
        <v>689</v>
      </c>
      <c r="M136" s="144" t="s">
        <v>261</v>
      </c>
      <c r="N136" s="75" t="s">
        <v>641</v>
      </c>
      <c r="O136" s="83" t="s">
        <v>838</v>
      </c>
      <c r="P136" s="144" t="s">
        <v>458</v>
      </c>
      <c r="Q136" s="75" t="s">
        <v>839</v>
      </c>
      <c r="R136" s="83" t="s">
        <v>696</v>
      </c>
      <c r="S136" s="144" t="s">
        <v>840</v>
      </c>
      <c r="T136" s="76" t="s">
        <v>32</v>
      </c>
    </row>
    <row r="137" spans="1:20">
      <c r="A137" s="51" t="s">
        <v>136</v>
      </c>
      <c r="B137" s="126">
        <v>2115</v>
      </c>
      <c r="C137" s="122">
        <v>1604</v>
      </c>
      <c r="D137" s="144" t="s">
        <v>545</v>
      </c>
      <c r="E137" s="126">
        <v>2115</v>
      </c>
      <c r="F137" s="122">
        <v>1638</v>
      </c>
      <c r="G137" s="144">
        <v>0</v>
      </c>
      <c r="H137" s="126">
        <v>2115</v>
      </c>
      <c r="I137" s="122">
        <v>1611</v>
      </c>
      <c r="J137" s="144" t="s">
        <v>545</v>
      </c>
      <c r="K137" s="126">
        <v>2115</v>
      </c>
      <c r="L137" s="122">
        <v>1499</v>
      </c>
      <c r="M137" s="144" t="s">
        <v>296</v>
      </c>
      <c r="N137" s="126">
        <v>2115</v>
      </c>
      <c r="O137" s="122">
        <v>1482</v>
      </c>
      <c r="P137" s="144" t="s">
        <v>439</v>
      </c>
      <c r="Q137" s="126">
        <v>2115</v>
      </c>
      <c r="R137" s="122">
        <v>1446</v>
      </c>
      <c r="S137" s="144" t="s">
        <v>611</v>
      </c>
      <c r="T137" s="145">
        <v>1044</v>
      </c>
    </row>
    <row r="138" spans="1:20">
      <c r="A138" s="51" t="s">
        <v>498</v>
      </c>
      <c r="B138" s="126">
        <v>10631</v>
      </c>
      <c r="C138" s="83" t="s">
        <v>841</v>
      </c>
      <c r="D138" s="144" t="s">
        <v>568</v>
      </c>
      <c r="E138" s="126">
        <v>11688</v>
      </c>
      <c r="F138" s="122">
        <v>11731</v>
      </c>
      <c r="G138" s="144" t="s">
        <v>655</v>
      </c>
      <c r="H138" s="126">
        <v>10098</v>
      </c>
      <c r="I138" s="122">
        <v>11272</v>
      </c>
      <c r="J138" s="144" t="s">
        <v>256</v>
      </c>
      <c r="K138" s="126">
        <v>11448</v>
      </c>
      <c r="L138" s="122">
        <v>11652</v>
      </c>
      <c r="M138" s="144" t="s">
        <v>375</v>
      </c>
      <c r="N138" s="126">
        <v>9747</v>
      </c>
      <c r="O138" s="122">
        <v>11742</v>
      </c>
      <c r="P138" s="144" t="s">
        <v>385</v>
      </c>
      <c r="Q138" s="126">
        <v>10223</v>
      </c>
      <c r="R138" s="122">
        <v>11425</v>
      </c>
      <c r="S138" s="144" t="s">
        <v>399</v>
      </c>
      <c r="T138" s="145">
        <v>11827</v>
      </c>
    </row>
    <row r="139" spans="1:20">
      <c r="A139" s="51" t="s">
        <v>137</v>
      </c>
      <c r="B139" s="75" t="s">
        <v>657</v>
      </c>
      <c r="C139" s="83" t="s">
        <v>121</v>
      </c>
      <c r="D139" s="144">
        <v>0</v>
      </c>
      <c r="E139" s="75" t="s">
        <v>842</v>
      </c>
      <c r="F139" s="83" t="s">
        <v>843</v>
      </c>
      <c r="G139" s="144" t="s">
        <v>610</v>
      </c>
      <c r="H139" s="75" t="s">
        <v>832</v>
      </c>
      <c r="I139" s="83" t="s">
        <v>844</v>
      </c>
      <c r="J139" s="144" t="s">
        <v>478</v>
      </c>
      <c r="K139" s="75" t="s">
        <v>845</v>
      </c>
      <c r="L139" s="83" t="s">
        <v>843</v>
      </c>
      <c r="M139" s="144" t="s">
        <v>632</v>
      </c>
      <c r="N139" s="75" t="s">
        <v>846</v>
      </c>
      <c r="O139" s="83" t="s">
        <v>847</v>
      </c>
      <c r="P139" s="144" t="s">
        <v>848</v>
      </c>
      <c r="Q139" s="75" t="s">
        <v>641</v>
      </c>
      <c r="R139" s="83" t="s">
        <v>849</v>
      </c>
      <c r="S139" s="144">
        <v>0</v>
      </c>
      <c r="T139" s="76" t="s">
        <v>33</v>
      </c>
    </row>
    <row r="140" spans="1:20">
      <c r="A140" s="51" t="s">
        <v>138</v>
      </c>
      <c r="B140" s="75" t="s">
        <v>75</v>
      </c>
      <c r="C140" s="83" t="s">
        <v>554</v>
      </c>
      <c r="D140" s="144">
        <v>0</v>
      </c>
      <c r="E140" s="75" t="s">
        <v>620</v>
      </c>
      <c r="F140" s="83" t="s">
        <v>620</v>
      </c>
      <c r="G140" s="144" t="s">
        <v>416</v>
      </c>
      <c r="H140" s="75" t="s">
        <v>45</v>
      </c>
      <c r="I140" s="83" t="s">
        <v>89</v>
      </c>
      <c r="J140" s="144" t="s">
        <v>702</v>
      </c>
      <c r="K140" s="75" t="s">
        <v>25</v>
      </c>
      <c r="L140" s="83" t="s">
        <v>34</v>
      </c>
      <c r="M140" s="144" t="s">
        <v>376</v>
      </c>
      <c r="N140" s="75" t="s">
        <v>850</v>
      </c>
      <c r="O140" s="83" t="s">
        <v>105</v>
      </c>
      <c r="P140" s="144">
        <v>0</v>
      </c>
      <c r="Q140" s="75" t="s">
        <v>579</v>
      </c>
      <c r="R140" s="83" t="s">
        <v>25</v>
      </c>
      <c r="S140" s="144" t="s">
        <v>685</v>
      </c>
      <c r="T140" s="76" t="s">
        <v>34</v>
      </c>
    </row>
    <row r="141" spans="1:20">
      <c r="A141" s="51" t="s">
        <v>139</v>
      </c>
      <c r="B141" s="126">
        <v>3554</v>
      </c>
      <c r="C141" s="122">
        <v>3576</v>
      </c>
      <c r="D141" s="144" t="s">
        <v>303</v>
      </c>
      <c r="E141" s="126">
        <v>3632</v>
      </c>
      <c r="F141" s="83" t="s">
        <v>851</v>
      </c>
      <c r="G141" s="144" t="s">
        <v>270</v>
      </c>
      <c r="H141" s="126">
        <v>3609</v>
      </c>
      <c r="I141" s="122">
        <v>3609</v>
      </c>
      <c r="J141" s="144">
        <v>0</v>
      </c>
      <c r="K141" s="126">
        <v>3641</v>
      </c>
      <c r="L141" s="122">
        <v>3637</v>
      </c>
      <c r="M141" s="144">
        <v>0.03</v>
      </c>
      <c r="N141" s="126">
        <v>3715</v>
      </c>
      <c r="O141" s="122">
        <v>3709</v>
      </c>
      <c r="P141" s="144">
        <v>0.16</v>
      </c>
      <c r="Q141" s="126">
        <v>3633</v>
      </c>
      <c r="R141" s="122">
        <v>3632</v>
      </c>
      <c r="S141" s="144">
        <v>0.05</v>
      </c>
      <c r="T141" s="145">
        <v>3568</v>
      </c>
    </row>
    <row r="142" spans="1:20">
      <c r="A142" s="51" t="s">
        <v>140</v>
      </c>
      <c r="B142" s="75" t="s">
        <v>16</v>
      </c>
      <c r="C142" s="83" t="s">
        <v>852</v>
      </c>
      <c r="D142" s="144" t="s">
        <v>244</v>
      </c>
      <c r="E142" s="75" t="s">
        <v>83</v>
      </c>
      <c r="F142" s="83" t="s">
        <v>23</v>
      </c>
      <c r="G142" s="144" t="s">
        <v>478</v>
      </c>
      <c r="H142" s="75" t="s">
        <v>77</v>
      </c>
      <c r="I142" s="83" t="s">
        <v>853</v>
      </c>
      <c r="J142" s="144" t="s">
        <v>282</v>
      </c>
      <c r="K142" s="75" t="s">
        <v>854</v>
      </c>
      <c r="L142" s="83" t="s">
        <v>3</v>
      </c>
      <c r="M142" s="144" t="s">
        <v>289</v>
      </c>
      <c r="N142" s="75" t="s">
        <v>92</v>
      </c>
      <c r="O142" s="83" t="s">
        <v>855</v>
      </c>
      <c r="P142" s="144" t="s">
        <v>610</v>
      </c>
      <c r="Q142" s="75" t="s">
        <v>77</v>
      </c>
      <c r="R142" s="83" t="s">
        <v>46</v>
      </c>
      <c r="S142" s="144" t="s">
        <v>642</v>
      </c>
      <c r="T142" s="76" t="s">
        <v>35</v>
      </c>
    </row>
    <row r="143" spans="1:20">
      <c r="A143" s="51" t="s">
        <v>141</v>
      </c>
      <c r="B143" s="75" t="s">
        <v>788</v>
      </c>
      <c r="C143" s="83" t="s">
        <v>80</v>
      </c>
      <c r="D143" s="144" t="s">
        <v>425</v>
      </c>
      <c r="E143" s="75" t="s">
        <v>87</v>
      </c>
      <c r="F143" s="83" t="s">
        <v>23</v>
      </c>
      <c r="G143" s="144" t="s">
        <v>281</v>
      </c>
      <c r="H143" s="75" t="s">
        <v>788</v>
      </c>
      <c r="I143" s="83" t="s">
        <v>854</v>
      </c>
      <c r="J143" s="144" t="s">
        <v>478</v>
      </c>
      <c r="K143" s="75" t="s">
        <v>96</v>
      </c>
      <c r="L143" s="83" t="s">
        <v>95</v>
      </c>
      <c r="M143" s="144" t="s">
        <v>768</v>
      </c>
      <c r="N143" s="75" t="s">
        <v>793</v>
      </c>
      <c r="O143" s="83" t="s">
        <v>46</v>
      </c>
      <c r="P143" s="144" t="s">
        <v>856</v>
      </c>
      <c r="Q143" s="75" t="s">
        <v>857</v>
      </c>
      <c r="R143" s="83" t="s">
        <v>858</v>
      </c>
      <c r="S143" s="144" t="s">
        <v>369</v>
      </c>
      <c r="T143" s="76" t="s">
        <v>36</v>
      </c>
    </row>
    <row r="144" spans="1:20">
      <c r="A144" s="52" t="s">
        <v>142</v>
      </c>
      <c r="B144" s="77" t="s">
        <v>783</v>
      </c>
      <c r="C144" s="78" t="s">
        <v>4</v>
      </c>
      <c r="D144" s="18" t="s">
        <v>823</v>
      </c>
      <c r="E144" s="77" t="s">
        <v>98</v>
      </c>
      <c r="F144" s="78" t="s">
        <v>98</v>
      </c>
      <c r="G144" s="18" t="s">
        <v>859</v>
      </c>
      <c r="H144" s="77" t="s">
        <v>92</v>
      </c>
      <c r="I144" s="78" t="s">
        <v>4</v>
      </c>
      <c r="J144" s="18" t="s">
        <v>294</v>
      </c>
      <c r="K144" s="77" t="s">
        <v>13</v>
      </c>
      <c r="L144" s="78" t="s">
        <v>37</v>
      </c>
      <c r="M144" s="18">
        <v>0.13</v>
      </c>
      <c r="N144" s="77" t="s">
        <v>552</v>
      </c>
      <c r="O144" s="78" t="s">
        <v>99</v>
      </c>
      <c r="P144" s="18">
        <v>7.0000000000000007E-2</v>
      </c>
      <c r="Q144" s="77" t="s">
        <v>783</v>
      </c>
      <c r="R144" s="78" t="s">
        <v>609</v>
      </c>
      <c r="S144" s="18" t="s">
        <v>711</v>
      </c>
      <c r="T144" s="79" t="s">
        <v>38</v>
      </c>
    </row>
    <row r="145" spans="1:20" ht="16" customHeight="1">
      <c r="A145" s="97"/>
      <c r="B145" s="90" t="s">
        <v>197</v>
      </c>
      <c r="C145" s="91"/>
      <c r="D145" s="92"/>
      <c r="E145" s="90" t="s">
        <v>198</v>
      </c>
      <c r="F145" s="91"/>
      <c r="G145" s="92"/>
      <c r="H145" s="90" t="s">
        <v>199</v>
      </c>
      <c r="I145" s="91"/>
      <c r="J145" s="92"/>
      <c r="K145" s="90" t="s">
        <v>200</v>
      </c>
      <c r="L145" s="91"/>
      <c r="M145" s="92"/>
      <c r="N145" s="90" t="s">
        <v>201</v>
      </c>
      <c r="O145" s="91"/>
      <c r="P145" s="92"/>
      <c r="Q145" s="90" t="s">
        <v>427</v>
      </c>
      <c r="R145" s="91"/>
      <c r="S145" s="92"/>
      <c r="T145" s="85" t="s">
        <v>143</v>
      </c>
    </row>
    <row r="146" spans="1:20">
      <c r="A146" s="98"/>
      <c r="B146" s="93"/>
      <c r="C146" s="96"/>
      <c r="D146" s="95"/>
      <c r="E146" s="93"/>
      <c r="F146" s="96"/>
      <c r="G146" s="95"/>
      <c r="H146" s="93"/>
      <c r="I146" s="96"/>
      <c r="J146" s="95"/>
      <c r="K146" s="93"/>
      <c r="L146" s="96"/>
      <c r="M146" s="95"/>
      <c r="N146" s="93"/>
      <c r="O146" s="96"/>
      <c r="P146" s="95"/>
      <c r="Q146" s="93"/>
      <c r="R146" s="96"/>
      <c r="S146" s="95"/>
      <c r="T146" s="86"/>
    </row>
    <row r="147" spans="1:20" ht="17" thickBot="1">
      <c r="A147" s="84"/>
      <c r="B147" s="75"/>
      <c r="C147" s="13" t="s">
        <v>202</v>
      </c>
      <c r="D147" s="76"/>
      <c r="E147" s="75"/>
      <c r="F147" s="13" t="s">
        <v>203</v>
      </c>
      <c r="G147" s="76"/>
      <c r="H147" s="75"/>
      <c r="I147" s="13" t="s">
        <v>204</v>
      </c>
      <c r="J147" s="76"/>
      <c r="K147" s="75"/>
      <c r="L147" s="13" t="s">
        <v>205</v>
      </c>
      <c r="M147" s="76"/>
      <c r="N147" s="75"/>
      <c r="O147" s="13" t="s">
        <v>206</v>
      </c>
      <c r="P147" s="76"/>
      <c r="Q147" s="75"/>
      <c r="R147" s="13" t="s">
        <v>207</v>
      </c>
      <c r="S147" s="76"/>
      <c r="T147" s="86"/>
    </row>
    <row r="148" spans="1:20" ht="17" thickTop="1">
      <c r="A148" s="143" t="s">
        <v>128</v>
      </c>
      <c r="B148" s="14" t="s">
        <v>0</v>
      </c>
      <c r="C148" s="15" t="s">
        <v>1</v>
      </c>
      <c r="D148" s="16" t="s">
        <v>129</v>
      </c>
      <c r="E148" s="14" t="s">
        <v>0</v>
      </c>
      <c r="F148" s="15" t="s">
        <v>1</v>
      </c>
      <c r="G148" s="16" t="s">
        <v>129</v>
      </c>
      <c r="H148" s="14" t="s">
        <v>0</v>
      </c>
      <c r="I148" s="15" t="s">
        <v>1</v>
      </c>
      <c r="J148" s="16" t="s">
        <v>129</v>
      </c>
      <c r="K148" s="14" t="s">
        <v>0</v>
      </c>
      <c r="L148" s="15" t="s">
        <v>1</v>
      </c>
      <c r="M148" s="16" t="s">
        <v>129</v>
      </c>
      <c r="N148" s="14" t="s">
        <v>0</v>
      </c>
      <c r="O148" s="15" t="s">
        <v>1</v>
      </c>
      <c r="P148" s="16" t="s">
        <v>129</v>
      </c>
      <c r="Q148" s="14" t="s">
        <v>0</v>
      </c>
      <c r="R148" s="15" t="s">
        <v>1</v>
      </c>
      <c r="S148" s="16" t="s">
        <v>129</v>
      </c>
      <c r="T148" s="87"/>
    </row>
    <row r="149" spans="1:20">
      <c r="A149" s="51" t="s">
        <v>130</v>
      </c>
      <c r="B149" s="126">
        <v>8125</v>
      </c>
      <c r="C149" s="122">
        <v>8271</v>
      </c>
      <c r="D149" s="144" t="s">
        <v>860</v>
      </c>
      <c r="E149" s="126">
        <v>6989</v>
      </c>
      <c r="F149" s="122">
        <v>7498</v>
      </c>
      <c r="G149" s="144" t="s">
        <v>471</v>
      </c>
      <c r="H149" s="126">
        <v>9911</v>
      </c>
      <c r="I149" s="122">
        <v>10426</v>
      </c>
      <c r="J149" s="144" t="s">
        <v>236</v>
      </c>
      <c r="K149" s="126">
        <v>8414</v>
      </c>
      <c r="L149" s="122">
        <v>8712</v>
      </c>
      <c r="M149" s="144" t="s">
        <v>268</v>
      </c>
      <c r="N149" s="126">
        <v>7867</v>
      </c>
      <c r="O149" s="122">
        <v>7991</v>
      </c>
      <c r="P149" s="144" t="s">
        <v>861</v>
      </c>
      <c r="Q149" s="126">
        <v>8322</v>
      </c>
      <c r="R149" s="83" t="s">
        <v>862</v>
      </c>
      <c r="S149" s="144">
        <v>0</v>
      </c>
      <c r="T149" s="145">
        <v>8209</v>
      </c>
    </row>
    <row r="150" spans="1:20">
      <c r="A150" s="51" t="s">
        <v>497</v>
      </c>
      <c r="B150" s="126">
        <v>-3703</v>
      </c>
      <c r="C150" s="122">
        <v>-3988</v>
      </c>
      <c r="D150" s="144" t="s">
        <v>666</v>
      </c>
      <c r="E150" s="126">
        <v>-3827</v>
      </c>
      <c r="F150" s="122">
        <v>-4963</v>
      </c>
      <c r="G150" s="144">
        <v>0</v>
      </c>
      <c r="H150" s="75" t="s">
        <v>863</v>
      </c>
      <c r="I150" s="122">
        <v>-3256</v>
      </c>
      <c r="J150" s="144" t="s">
        <v>864</v>
      </c>
      <c r="K150" s="126">
        <v>-3768</v>
      </c>
      <c r="L150" s="122">
        <v>-3923</v>
      </c>
      <c r="M150" s="144" t="s">
        <v>361</v>
      </c>
      <c r="N150" s="126">
        <v>-3819</v>
      </c>
      <c r="O150" s="122">
        <v>-4468</v>
      </c>
      <c r="P150" s="144">
        <v>0</v>
      </c>
      <c r="Q150" s="126">
        <v>-3224</v>
      </c>
      <c r="R150" s="122">
        <v>-3228</v>
      </c>
      <c r="S150" s="144" t="s">
        <v>865</v>
      </c>
      <c r="T150" s="76" t="s">
        <v>550</v>
      </c>
    </row>
    <row r="151" spans="1:20">
      <c r="A151" s="51" t="s">
        <v>551</v>
      </c>
      <c r="B151" s="75" t="s">
        <v>78</v>
      </c>
      <c r="C151" s="83" t="s">
        <v>737</v>
      </c>
      <c r="D151" s="144" t="s">
        <v>658</v>
      </c>
      <c r="E151" s="75" t="s">
        <v>75</v>
      </c>
      <c r="F151" s="83" t="s">
        <v>97</v>
      </c>
      <c r="G151" s="144" t="s">
        <v>299</v>
      </c>
      <c r="H151" s="75" t="s">
        <v>93</v>
      </c>
      <c r="I151" s="83" t="s">
        <v>83</v>
      </c>
      <c r="J151" s="144" t="s">
        <v>467</v>
      </c>
      <c r="K151" s="75" t="s">
        <v>4</v>
      </c>
      <c r="L151" s="83" t="s">
        <v>557</v>
      </c>
      <c r="M151" s="144" t="s">
        <v>271</v>
      </c>
      <c r="N151" s="75" t="s">
        <v>10</v>
      </c>
      <c r="O151" s="83" t="s">
        <v>21</v>
      </c>
      <c r="P151" s="144" t="s">
        <v>367</v>
      </c>
      <c r="Q151" s="75" t="s">
        <v>109</v>
      </c>
      <c r="R151" s="83" t="s">
        <v>679</v>
      </c>
      <c r="S151" s="144" t="s">
        <v>385</v>
      </c>
      <c r="T151" s="76" t="s">
        <v>11</v>
      </c>
    </row>
    <row r="152" spans="1:20">
      <c r="A152" s="51" t="s">
        <v>132</v>
      </c>
      <c r="B152" s="75" t="s">
        <v>866</v>
      </c>
      <c r="C152" s="83" t="s">
        <v>867</v>
      </c>
      <c r="D152" s="144">
        <v>0</v>
      </c>
      <c r="E152" s="75" t="s">
        <v>868</v>
      </c>
      <c r="F152" s="83" t="s">
        <v>869</v>
      </c>
      <c r="G152" s="144">
        <v>0</v>
      </c>
      <c r="H152" s="75" t="s">
        <v>757</v>
      </c>
      <c r="I152" s="83" t="s">
        <v>708</v>
      </c>
      <c r="J152" s="144" t="s">
        <v>244</v>
      </c>
      <c r="K152" s="75" t="s">
        <v>870</v>
      </c>
      <c r="L152" s="83" t="s">
        <v>871</v>
      </c>
      <c r="M152" s="144" t="s">
        <v>301</v>
      </c>
      <c r="N152" s="75" t="s">
        <v>694</v>
      </c>
      <c r="O152" s="83" t="s">
        <v>872</v>
      </c>
      <c r="P152" s="144">
        <v>0</v>
      </c>
      <c r="Q152" s="75" t="s">
        <v>650</v>
      </c>
      <c r="R152" s="83" t="s">
        <v>649</v>
      </c>
      <c r="S152" s="144">
        <v>0</v>
      </c>
      <c r="T152" s="76" t="s">
        <v>29</v>
      </c>
    </row>
    <row r="153" spans="1:20">
      <c r="A153" s="51" t="s">
        <v>133</v>
      </c>
      <c r="B153" s="75" t="s">
        <v>839</v>
      </c>
      <c r="C153" s="83" t="s">
        <v>115</v>
      </c>
      <c r="D153" s="144" t="s">
        <v>418</v>
      </c>
      <c r="E153" s="75" t="s">
        <v>873</v>
      </c>
      <c r="F153" s="83" t="s">
        <v>874</v>
      </c>
      <c r="G153" s="144" t="s">
        <v>238</v>
      </c>
      <c r="H153" s="75" t="s">
        <v>757</v>
      </c>
      <c r="I153" s="83" t="s">
        <v>875</v>
      </c>
      <c r="J153" s="144">
        <v>0</v>
      </c>
      <c r="K153" s="75" t="s">
        <v>30</v>
      </c>
      <c r="L153" s="83" t="s">
        <v>876</v>
      </c>
      <c r="M153" s="144">
        <v>0.1</v>
      </c>
      <c r="N153" s="75" t="s">
        <v>586</v>
      </c>
      <c r="O153" s="83" t="s">
        <v>583</v>
      </c>
      <c r="P153" s="144" t="s">
        <v>642</v>
      </c>
      <c r="Q153" s="75" t="s">
        <v>747</v>
      </c>
      <c r="R153" s="83" t="s">
        <v>877</v>
      </c>
      <c r="S153" s="144">
        <v>0.06</v>
      </c>
      <c r="T153" s="76" t="s">
        <v>30</v>
      </c>
    </row>
    <row r="154" spans="1:20">
      <c r="A154" s="51" t="s">
        <v>134</v>
      </c>
      <c r="B154" s="75" t="s">
        <v>78</v>
      </c>
      <c r="C154" s="83" t="s">
        <v>21</v>
      </c>
      <c r="D154" s="144" t="s">
        <v>419</v>
      </c>
      <c r="E154" s="75" t="s">
        <v>651</v>
      </c>
      <c r="F154" s="83" t="s">
        <v>737</v>
      </c>
      <c r="G154" s="144">
        <v>0.09</v>
      </c>
      <c r="H154" s="75" t="s">
        <v>27</v>
      </c>
      <c r="I154" s="83" t="s">
        <v>617</v>
      </c>
      <c r="J154" s="144" t="s">
        <v>305</v>
      </c>
      <c r="K154" s="75" t="s">
        <v>10</v>
      </c>
      <c r="L154" s="83" t="s">
        <v>25</v>
      </c>
      <c r="M154" s="144">
        <v>0</v>
      </c>
      <c r="N154" s="75" t="s">
        <v>878</v>
      </c>
      <c r="O154" s="83" t="s">
        <v>75</v>
      </c>
      <c r="P154" s="144">
        <v>0</v>
      </c>
      <c r="Q154" s="75" t="s">
        <v>577</v>
      </c>
      <c r="R154" s="83" t="s">
        <v>617</v>
      </c>
      <c r="S154" s="144">
        <v>0</v>
      </c>
      <c r="T154" s="76" t="s">
        <v>31</v>
      </c>
    </row>
    <row r="155" spans="1:20">
      <c r="A155" s="51" t="s">
        <v>135</v>
      </c>
      <c r="B155" s="75" t="s">
        <v>623</v>
      </c>
      <c r="C155" s="83" t="s">
        <v>24</v>
      </c>
      <c r="D155" s="144" t="s">
        <v>256</v>
      </c>
      <c r="E155" s="75" t="s">
        <v>879</v>
      </c>
      <c r="F155" s="83" t="s">
        <v>880</v>
      </c>
      <c r="G155" s="144" t="s">
        <v>768</v>
      </c>
      <c r="H155" s="75" t="s">
        <v>881</v>
      </c>
      <c r="I155" s="83" t="s">
        <v>751</v>
      </c>
      <c r="J155" s="144">
        <v>0</v>
      </c>
      <c r="K155" s="75" t="s">
        <v>882</v>
      </c>
      <c r="L155" s="83" t="s">
        <v>97</v>
      </c>
      <c r="M155" s="144">
        <v>0</v>
      </c>
      <c r="N155" s="75" t="s">
        <v>657</v>
      </c>
      <c r="O155" s="83" t="s">
        <v>94</v>
      </c>
      <c r="P155" s="144">
        <v>0</v>
      </c>
      <c r="Q155" s="75" t="s">
        <v>880</v>
      </c>
      <c r="R155" s="83" t="s">
        <v>883</v>
      </c>
      <c r="S155" s="144">
        <v>0</v>
      </c>
      <c r="T155" s="76" t="s">
        <v>32</v>
      </c>
    </row>
    <row r="156" spans="1:20">
      <c r="A156" s="51" t="s">
        <v>136</v>
      </c>
      <c r="B156" s="126">
        <v>2115</v>
      </c>
      <c r="C156" s="122">
        <v>1612</v>
      </c>
      <c r="D156" s="144" t="s">
        <v>385</v>
      </c>
      <c r="E156" s="126">
        <v>2115</v>
      </c>
      <c r="F156" s="83" t="s">
        <v>884</v>
      </c>
      <c r="G156" s="144" t="s">
        <v>885</v>
      </c>
      <c r="H156" s="126">
        <v>2651</v>
      </c>
      <c r="I156" s="122">
        <v>1994</v>
      </c>
      <c r="J156" s="144" t="s">
        <v>386</v>
      </c>
      <c r="K156" s="126">
        <v>2651</v>
      </c>
      <c r="L156" s="122">
        <v>1533</v>
      </c>
      <c r="M156" s="144">
        <v>0</v>
      </c>
      <c r="N156" s="126">
        <v>2651</v>
      </c>
      <c r="O156" s="83" t="s">
        <v>886</v>
      </c>
      <c r="P156" s="144" t="s">
        <v>856</v>
      </c>
      <c r="Q156" s="126">
        <v>2651</v>
      </c>
      <c r="R156" s="122">
        <v>1908</v>
      </c>
      <c r="S156" s="144">
        <v>0</v>
      </c>
      <c r="T156" s="145">
        <v>1044</v>
      </c>
    </row>
    <row r="157" spans="1:20">
      <c r="A157" s="51" t="s">
        <v>498</v>
      </c>
      <c r="B157" s="126">
        <v>10854</v>
      </c>
      <c r="C157" s="122">
        <v>11205</v>
      </c>
      <c r="D157" s="144">
        <v>0</v>
      </c>
      <c r="E157" s="126">
        <v>9901</v>
      </c>
      <c r="F157" s="122">
        <v>11352</v>
      </c>
      <c r="G157" s="144" t="s">
        <v>240</v>
      </c>
      <c r="H157" s="126">
        <v>12144</v>
      </c>
      <c r="I157" s="122">
        <v>12546</v>
      </c>
      <c r="J157" s="144">
        <v>0</v>
      </c>
      <c r="K157" s="126">
        <v>11164</v>
      </c>
      <c r="L157" s="122">
        <v>11612</v>
      </c>
      <c r="M157" s="144" t="s">
        <v>244</v>
      </c>
      <c r="N157" s="126">
        <v>10738</v>
      </c>
      <c r="O157" s="122">
        <v>11476</v>
      </c>
      <c r="P157" s="144">
        <v>0</v>
      </c>
      <c r="Q157" s="126">
        <v>10771</v>
      </c>
      <c r="R157" s="122">
        <v>12485</v>
      </c>
      <c r="S157" s="144">
        <v>0</v>
      </c>
      <c r="T157" s="145">
        <v>11827</v>
      </c>
    </row>
    <row r="158" spans="1:20">
      <c r="A158" s="51" t="s">
        <v>137</v>
      </c>
      <c r="B158" s="75" t="s">
        <v>762</v>
      </c>
      <c r="C158" s="83" t="s">
        <v>887</v>
      </c>
      <c r="D158" s="144">
        <v>0</v>
      </c>
      <c r="E158" s="75" t="s">
        <v>758</v>
      </c>
      <c r="F158" s="83" t="s">
        <v>730</v>
      </c>
      <c r="G158" s="144">
        <v>0</v>
      </c>
      <c r="H158" s="75" t="s">
        <v>664</v>
      </c>
      <c r="I158" s="83" t="s">
        <v>888</v>
      </c>
      <c r="J158" s="144">
        <v>0</v>
      </c>
      <c r="K158" s="75" t="s">
        <v>889</v>
      </c>
      <c r="L158" s="83" t="s">
        <v>890</v>
      </c>
      <c r="M158" s="144">
        <v>0</v>
      </c>
      <c r="N158" s="75" t="s">
        <v>564</v>
      </c>
      <c r="O158" s="83" t="s">
        <v>866</v>
      </c>
      <c r="P158" s="144">
        <v>0</v>
      </c>
      <c r="Q158" s="75" t="s">
        <v>670</v>
      </c>
      <c r="R158" s="83" t="s">
        <v>891</v>
      </c>
      <c r="S158" s="144" t="s">
        <v>236</v>
      </c>
      <c r="T158" s="76" t="s">
        <v>33</v>
      </c>
    </row>
    <row r="159" spans="1:20">
      <c r="A159" s="51" t="s">
        <v>138</v>
      </c>
      <c r="B159" s="75" t="s">
        <v>892</v>
      </c>
      <c r="C159" s="83" t="s">
        <v>684</v>
      </c>
      <c r="D159" s="144" t="s">
        <v>369</v>
      </c>
      <c r="E159" s="75" t="s">
        <v>81</v>
      </c>
      <c r="F159" s="83" t="s">
        <v>12</v>
      </c>
      <c r="G159" s="144" t="s">
        <v>401</v>
      </c>
      <c r="H159" s="75" t="s">
        <v>25</v>
      </c>
      <c r="I159" s="83" t="s">
        <v>656</v>
      </c>
      <c r="J159" s="144" t="s">
        <v>261</v>
      </c>
      <c r="K159" s="75" t="s">
        <v>17</v>
      </c>
      <c r="L159" s="83" t="s">
        <v>684</v>
      </c>
      <c r="M159" s="144" t="s">
        <v>278</v>
      </c>
      <c r="N159" s="75" t="s">
        <v>17</v>
      </c>
      <c r="O159" s="83" t="s">
        <v>893</v>
      </c>
      <c r="P159" s="144" t="s">
        <v>376</v>
      </c>
      <c r="Q159" s="75" t="s">
        <v>47</v>
      </c>
      <c r="R159" s="83" t="s">
        <v>76</v>
      </c>
      <c r="S159" s="144" t="s">
        <v>545</v>
      </c>
      <c r="T159" s="76" t="s">
        <v>34</v>
      </c>
    </row>
    <row r="160" spans="1:20">
      <c r="A160" s="51" t="s">
        <v>139</v>
      </c>
      <c r="B160" s="126">
        <v>3648</v>
      </c>
      <c r="C160" s="122">
        <v>3614</v>
      </c>
      <c r="D160" s="144" t="s">
        <v>584</v>
      </c>
      <c r="E160" s="126">
        <v>3789</v>
      </c>
      <c r="F160" s="122">
        <v>3756</v>
      </c>
      <c r="G160" s="144" t="s">
        <v>894</v>
      </c>
      <c r="H160" s="126">
        <v>3574</v>
      </c>
      <c r="I160" s="122">
        <v>3606</v>
      </c>
      <c r="J160" s="144" t="s">
        <v>648</v>
      </c>
      <c r="K160" s="126">
        <v>3647</v>
      </c>
      <c r="L160" s="122">
        <v>3649</v>
      </c>
      <c r="M160" s="144" t="s">
        <v>416</v>
      </c>
      <c r="N160" s="126">
        <v>3818</v>
      </c>
      <c r="O160" s="122">
        <v>3718</v>
      </c>
      <c r="P160" s="144" t="s">
        <v>761</v>
      </c>
      <c r="Q160" s="126">
        <v>3781</v>
      </c>
      <c r="R160" s="122">
        <v>3662</v>
      </c>
      <c r="S160" s="144" t="s">
        <v>244</v>
      </c>
      <c r="T160" s="145">
        <v>3568</v>
      </c>
    </row>
    <row r="161" spans="1:20">
      <c r="A161" s="51" t="s">
        <v>140</v>
      </c>
      <c r="B161" s="75" t="s">
        <v>35</v>
      </c>
      <c r="C161" s="83" t="s">
        <v>895</v>
      </c>
      <c r="D161" s="144" t="s">
        <v>256</v>
      </c>
      <c r="E161" s="75" t="s">
        <v>77</v>
      </c>
      <c r="F161" s="83" t="s">
        <v>73</v>
      </c>
      <c r="G161" s="144" t="s">
        <v>896</v>
      </c>
      <c r="H161" s="75" t="s">
        <v>850</v>
      </c>
      <c r="I161" s="83" t="s">
        <v>710</v>
      </c>
      <c r="J161" s="144" t="s">
        <v>369</v>
      </c>
      <c r="K161" s="75" t="s">
        <v>102</v>
      </c>
      <c r="L161" s="83" t="s">
        <v>853</v>
      </c>
      <c r="M161" s="144" t="s">
        <v>658</v>
      </c>
      <c r="N161" s="75" t="s">
        <v>617</v>
      </c>
      <c r="O161" s="83" t="s">
        <v>42</v>
      </c>
      <c r="P161" s="144" t="s">
        <v>302</v>
      </c>
      <c r="Q161" s="75" t="s">
        <v>733</v>
      </c>
      <c r="R161" s="83" t="s">
        <v>809</v>
      </c>
      <c r="S161" s="144" t="s">
        <v>397</v>
      </c>
      <c r="T161" s="76" t="s">
        <v>35</v>
      </c>
    </row>
    <row r="162" spans="1:20">
      <c r="A162" s="51" t="s">
        <v>141</v>
      </c>
      <c r="B162" s="75" t="s">
        <v>35</v>
      </c>
      <c r="C162" s="83" t="s">
        <v>92</v>
      </c>
      <c r="D162" s="144" t="s">
        <v>565</v>
      </c>
      <c r="E162" s="75" t="s">
        <v>77</v>
      </c>
      <c r="F162" s="83" t="s">
        <v>95</v>
      </c>
      <c r="G162" s="144" t="s">
        <v>265</v>
      </c>
      <c r="H162" s="75" t="s">
        <v>617</v>
      </c>
      <c r="I162" s="83" t="s">
        <v>92</v>
      </c>
      <c r="J162" s="144" t="s">
        <v>692</v>
      </c>
      <c r="K162" s="75" t="s">
        <v>679</v>
      </c>
      <c r="L162" s="83" t="s">
        <v>681</v>
      </c>
      <c r="M162" s="144" t="s">
        <v>297</v>
      </c>
      <c r="N162" s="75" t="s">
        <v>23</v>
      </c>
      <c r="O162" s="83" t="s">
        <v>679</v>
      </c>
      <c r="P162" s="144">
        <v>0.1</v>
      </c>
      <c r="Q162" s="75" t="s">
        <v>897</v>
      </c>
      <c r="R162" s="83" t="s">
        <v>897</v>
      </c>
      <c r="S162" s="144" t="s">
        <v>898</v>
      </c>
      <c r="T162" s="76" t="s">
        <v>36</v>
      </c>
    </row>
    <row r="163" spans="1:20">
      <c r="A163" s="52" t="s">
        <v>142</v>
      </c>
      <c r="B163" s="77" t="s">
        <v>12</v>
      </c>
      <c r="C163" s="78" t="s">
        <v>41</v>
      </c>
      <c r="D163" s="18" t="s">
        <v>375</v>
      </c>
      <c r="E163" s="77" t="s">
        <v>99</v>
      </c>
      <c r="F163" s="78" t="s">
        <v>2</v>
      </c>
      <c r="G163" s="18" t="s">
        <v>558</v>
      </c>
      <c r="H163" s="77" t="s">
        <v>581</v>
      </c>
      <c r="I163" s="78" t="s">
        <v>41</v>
      </c>
      <c r="J163" s="18" t="s">
        <v>367</v>
      </c>
      <c r="K163" s="77" t="s">
        <v>897</v>
      </c>
      <c r="L163" s="78" t="s">
        <v>897</v>
      </c>
      <c r="M163" s="18" t="s">
        <v>420</v>
      </c>
      <c r="N163" s="77" t="s">
        <v>809</v>
      </c>
      <c r="O163" s="78" t="s">
        <v>582</v>
      </c>
      <c r="P163" s="18" t="s">
        <v>424</v>
      </c>
      <c r="Q163" s="77" t="s">
        <v>36</v>
      </c>
      <c r="R163" s="78" t="s">
        <v>42</v>
      </c>
      <c r="S163" s="18" t="s">
        <v>545</v>
      </c>
      <c r="T163" s="79" t="s">
        <v>38</v>
      </c>
    </row>
    <row r="166" spans="1:20">
      <c r="A166" s="97" t="s">
        <v>71</v>
      </c>
      <c r="B166" s="90" t="s">
        <v>208</v>
      </c>
      <c r="C166" s="91"/>
      <c r="D166" s="92"/>
      <c r="E166" s="90" t="s">
        <v>209</v>
      </c>
      <c r="F166" s="91"/>
      <c r="G166" s="92"/>
      <c r="H166" s="90" t="s">
        <v>210</v>
      </c>
      <c r="I166" s="91"/>
      <c r="J166" s="92"/>
      <c r="K166" s="90" t="s">
        <v>211</v>
      </c>
      <c r="L166" s="91"/>
      <c r="M166" s="92"/>
      <c r="N166" s="85" t="s">
        <v>143</v>
      </c>
    </row>
    <row r="167" spans="1:20">
      <c r="A167" s="98"/>
      <c r="B167" s="93"/>
      <c r="C167" s="96"/>
      <c r="D167" s="95"/>
      <c r="E167" s="93"/>
      <c r="F167" s="96"/>
      <c r="G167" s="95"/>
      <c r="H167" s="93"/>
      <c r="I167" s="96"/>
      <c r="J167" s="95"/>
      <c r="K167" s="93"/>
      <c r="L167" s="96"/>
      <c r="M167" s="95"/>
      <c r="N167" s="86"/>
    </row>
    <row r="168" spans="1:20" ht="17" thickBot="1">
      <c r="A168" s="84"/>
      <c r="B168" s="80"/>
      <c r="C168" s="81" t="s">
        <v>212</v>
      </c>
      <c r="D168" s="82"/>
      <c r="E168" s="75"/>
      <c r="F168" s="81" t="s">
        <v>213</v>
      </c>
      <c r="G168" s="76"/>
      <c r="H168" s="75"/>
      <c r="I168" s="13" t="s">
        <v>214</v>
      </c>
      <c r="J168" s="76"/>
      <c r="K168" s="75"/>
      <c r="L168" s="13" t="s">
        <v>215</v>
      </c>
      <c r="M168" s="76"/>
      <c r="N168" s="86"/>
    </row>
    <row r="169" spans="1:20" ht="17" thickTop="1">
      <c r="A169" s="143" t="s">
        <v>128</v>
      </c>
      <c r="B169" s="14" t="s">
        <v>0</v>
      </c>
      <c r="C169" s="15" t="s">
        <v>1</v>
      </c>
      <c r="D169" s="16" t="s">
        <v>129</v>
      </c>
      <c r="E169" s="14" t="s">
        <v>0</v>
      </c>
      <c r="F169" s="15" t="s">
        <v>1</v>
      </c>
      <c r="G169" s="16" t="s">
        <v>129</v>
      </c>
      <c r="H169" s="14" t="s">
        <v>0</v>
      </c>
      <c r="I169" s="15" t="s">
        <v>1</v>
      </c>
      <c r="J169" s="16" t="s">
        <v>129</v>
      </c>
      <c r="K169" s="14" t="s">
        <v>0</v>
      </c>
      <c r="L169" s="15" t="s">
        <v>1</v>
      </c>
      <c r="M169" s="16" t="s">
        <v>129</v>
      </c>
      <c r="N169" s="87"/>
    </row>
    <row r="170" spans="1:20">
      <c r="A170" s="51" t="s">
        <v>130</v>
      </c>
      <c r="B170" s="126">
        <v>10154</v>
      </c>
      <c r="C170" s="122">
        <v>9622</v>
      </c>
      <c r="D170" s="144" t="s">
        <v>244</v>
      </c>
      <c r="E170" s="126">
        <v>9125</v>
      </c>
      <c r="F170" s="122">
        <v>8436</v>
      </c>
      <c r="G170" s="144" t="s">
        <v>244</v>
      </c>
      <c r="H170" s="126">
        <v>9154</v>
      </c>
      <c r="I170" s="122">
        <v>9096</v>
      </c>
      <c r="J170" s="144" t="s">
        <v>642</v>
      </c>
      <c r="K170" s="126">
        <v>9164</v>
      </c>
      <c r="L170" s="122">
        <v>9098</v>
      </c>
      <c r="M170" s="144" t="s">
        <v>425</v>
      </c>
      <c r="N170" s="145">
        <v>8209</v>
      </c>
    </row>
    <row r="171" spans="1:20">
      <c r="A171" s="51" t="s">
        <v>497</v>
      </c>
      <c r="B171" s="75" t="s">
        <v>899</v>
      </c>
      <c r="C171" s="83" t="s">
        <v>824</v>
      </c>
      <c r="D171" s="144" t="s">
        <v>632</v>
      </c>
      <c r="E171" s="126">
        <v>-4094</v>
      </c>
      <c r="F171" s="122">
        <v>-4521</v>
      </c>
      <c r="G171" s="144" t="s">
        <v>429</v>
      </c>
      <c r="H171" s="126">
        <v>-4171</v>
      </c>
      <c r="I171" s="122">
        <v>-4128</v>
      </c>
      <c r="J171" s="144" t="s">
        <v>545</v>
      </c>
      <c r="K171" s="126">
        <v>-4321</v>
      </c>
      <c r="L171" s="83" t="s">
        <v>900</v>
      </c>
      <c r="M171" s="144" t="s">
        <v>238</v>
      </c>
      <c r="N171" s="76" t="s">
        <v>550</v>
      </c>
    </row>
    <row r="172" spans="1:20">
      <c r="A172" s="51" t="s">
        <v>551</v>
      </c>
      <c r="B172" s="75" t="s">
        <v>901</v>
      </c>
      <c r="C172" s="83" t="s">
        <v>557</v>
      </c>
      <c r="D172" s="144" t="s">
        <v>423</v>
      </c>
      <c r="E172" s="75" t="s">
        <v>608</v>
      </c>
      <c r="F172" s="83" t="s">
        <v>554</v>
      </c>
      <c r="G172" s="144" t="s">
        <v>385</v>
      </c>
      <c r="H172" s="75" t="s">
        <v>106</v>
      </c>
      <c r="I172" s="83" t="s">
        <v>674</v>
      </c>
      <c r="J172" s="144">
        <v>0</v>
      </c>
      <c r="K172" s="75" t="s">
        <v>620</v>
      </c>
      <c r="L172" s="83" t="s">
        <v>39</v>
      </c>
      <c r="M172" s="144" t="s">
        <v>272</v>
      </c>
      <c r="N172" s="76" t="s">
        <v>11</v>
      </c>
    </row>
    <row r="173" spans="1:20">
      <c r="A173" s="51" t="s">
        <v>132</v>
      </c>
      <c r="B173" s="75" t="s">
        <v>762</v>
      </c>
      <c r="C173" s="83" t="s">
        <v>876</v>
      </c>
      <c r="D173" s="144" t="s">
        <v>795</v>
      </c>
      <c r="E173" s="75" t="s">
        <v>902</v>
      </c>
      <c r="F173" s="83" t="s">
        <v>903</v>
      </c>
      <c r="G173" s="144" t="s">
        <v>280</v>
      </c>
      <c r="H173" s="75" t="s">
        <v>904</v>
      </c>
      <c r="I173" s="83" t="s">
        <v>699</v>
      </c>
      <c r="J173" s="144" t="s">
        <v>385</v>
      </c>
      <c r="K173" s="75" t="s">
        <v>905</v>
      </c>
      <c r="L173" s="83" t="s">
        <v>906</v>
      </c>
      <c r="M173" s="144" t="s">
        <v>802</v>
      </c>
      <c r="N173" s="76" t="s">
        <v>29</v>
      </c>
    </row>
    <row r="174" spans="1:20">
      <c r="A174" s="51" t="s">
        <v>133</v>
      </c>
      <c r="B174" s="75" t="s">
        <v>907</v>
      </c>
      <c r="C174" s="83" t="s">
        <v>908</v>
      </c>
      <c r="D174" s="144" t="s">
        <v>413</v>
      </c>
      <c r="E174" s="75" t="s">
        <v>631</v>
      </c>
      <c r="F174" s="83" t="s">
        <v>909</v>
      </c>
      <c r="G174" s="144" t="s">
        <v>236</v>
      </c>
      <c r="H174" s="75" t="s">
        <v>703</v>
      </c>
      <c r="I174" s="83" t="s">
        <v>592</v>
      </c>
      <c r="J174" s="144" t="s">
        <v>910</v>
      </c>
      <c r="K174" s="75" t="s">
        <v>911</v>
      </c>
      <c r="L174" s="83" t="s">
        <v>759</v>
      </c>
      <c r="M174" s="144" t="s">
        <v>244</v>
      </c>
      <c r="N174" s="76" t="s">
        <v>30</v>
      </c>
    </row>
    <row r="175" spans="1:20">
      <c r="A175" s="51" t="s">
        <v>134</v>
      </c>
      <c r="B175" s="75" t="s">
        <v>850</v>
      </c>
      <c r="C175" s="83" t="s">
        <v>31</v>
      </c>
      <c r="D175" s="144" t="s">
        <v>375</v>
      </c>
      <c r="E175" s="75" t="s">
        <v>78</v>
      </c>
      <c r="F175" s="83" t="s">
        <v>21</v>
      </c>
      <c r="G175" s="144" t="s">
        <v>912</v>
      </c>
      <c r="H175" s="75" t="s">
        <v>31</v>
      </c>
      <c r="I175" s="83" t="s">
        <v>17</v>
      </c>
      <c r="J175" s="144" t="s">
        <v>303</v>
      </c>
      <c r="K175" s="75" t="s">
        <v>22</v>
      </c>
      <c r="L175" s="83" t="s">
        <v>22</v>
      </c>
      <c r="M175" s="144" t="s">
        <v>642</v>
      </c>
      <c r="N175" s="76" t="s">
        <v>31</v>
      </c>
    </row>
    <row r="176" spans="1:20">
      <c r="A176" s="51" t="s">
        <v>135</v>
      </c>
      <c r="B176" s="75" t="s">
        <v>15</v>
      </c>
      <c r="C176" s="83" t="s">
        <v>727</v>
      </c>
      <c r="D176" s="144">
        <v>0.1</v>
      </c>
      <c r="E176" s="75" t="s">
        <v>690</v>
      </c>
      <c r="F176" s="83" t="s">
        <v>654</v>
      </c>
      <c r="G176" s="144" t="s">
        <v>385</v>
      </c>
      <c r="H176" s="75" t="s">
        <v>803</v>
      </c>
      <c r="I176" s="83" t="s">
        <v>838</v>
      </c>
      <c r="J176" s="144" t="s">
        <v>795</v>
      </c>
      <c r="K176" s="75" t="s">
        <v>913</v>
      </c>
      <c r="L176" s="83" t="s">
        <v>913</v>
      </c>
      <c r="M176" s="144">
        <v>7.0000000000000007E-2</v>
      </c>
      <c r="N176" s="76" t="s">
        <v>32</v>
      </c>
    </row>
    <row r="177" spans="1:14">
      <c r="A177" s="51" t="s">
        <v>136</v>
      </c>
      <c r="B177" s="126">
        <v>1973</v>
      </c>
      <c r="C177" s="122">
        <v>1788</v>
      </c>
      <c r="D177" s="144" t="s">
        <v>302</v>
      </c>
      <c r="E177" s="75" t="s">
        <v>914</v>
      </c>
      <c r="F177" s="122">
        <v>1193</v>
      </c>
      <c r="G177" s="144" t="s">
        <v>768</v>
      </c>
      <c r="H177" s="75" t="s">
        <v>914</v>
      </c>
      <c r="I177" s="83" t="s">
        <v>915</v>
      </c>
      <c r="J177" s="144" t="s">
        <v>244</v>
      </c>
      <c r="K177" s="75" t="s">
        <v>914</v>
      </c>
      <c r="L177" s="83" t="s">
        <v>914</v>
      </c>
      <c r="M177" s="144" t="s">
        <v>245</v>
      </c>
      <c r="N177" s="145">
        <v>1044</v>
      </c>
    </row>
    <row r="178" spans="1:14">
      <c r="A178" s="51" t="s">
        <v>498</v>
      </c>
      <c r="B178" s="126">
        <v>12288</v>
      </c>
      <c r="C178" s="83" t="s">
        <v>916</v>
      </c>
      <c r="D178" s="144" t="s">
        <v>840</v>
      </c>
      <c r="E178" s="75" t="s">
        <v>917</v>
      </c>
      <c r="F178" s="122">
        <v>11886</v>
      </c>
      <c r="G178" s="144" t="s">
        <v>287</v>
      </c>
      <c r="H178" s="75" t="s">
        <v>918</v>
      </c>
      <c r="I178" s="122">
        <v>12061</v>
      </c>
      <c r="J178" s="144" t="s">
        <v>236</v>
      </c>
      <c r="K178" s="75" t="s">
        <v>919</v>
      </c>
      <c r="L178" s="122">
        <v>12297</v>
      </c>
      <c r="M178" s="144" t="s">
        <v>418</v>
      </c>
      <c r="N178" s="145">
        <v>11827</v>
      </c>
    </row>
    <row r="179" spans="1:14">
      <c r="A179" s="51" t="s">
        <v>137</v>
      </c>
      <c r="B179" s="75" t="s">
        <v>920</v>
      </c>
      <c r="C179" s="83" t="s">
        <v>921</v>
      </c>
      <c r="D179" s="144" t="s">
        <v>244</v>
      </c>
      <c r="E179" s="75" t="s">
        <v>922</v>
      </c>
      <c r="F179" s="83" t="s">
        <v>923</v>
      </c>
      <c r="G179" s="144">
        <v>0.24</v>
      </c>
      <c r="H179" s="75" t="s">
        <v>924</v>
      </c>
      <c r="I179" s="83" t="s">
        <v>925</v>
      </c>
      <c r="J179" s="144" t="s">
        <v>244</v>
      </c>
      <c r="K179" s="75" t="s">
        <v>33</v>
      </c>
      <c r="L179" s="83" t="s">
        <v>33</v>
      </c>
      <c r="M179" s="144" t="s">
        <v>480</v>
      </c>
      <c r="N179" s="76" t="s">
        <v>33</v>
      </c>
    </row>
    <row r="180" spans="1:14">
      <c r="A180" s="51" t="s">
        <v>138</v>
      </c>
      <c r="B180" s="75" t="s">
        <v>12</v>
      </c>
      <c r="C180" s="83" t="s">
        <v>893</v>
      </c>
      <c r="D180" s="144" t="s">
        <v>430</v>
      </c>
      <c r="E180" s="75" t="s">
        <v>31</v>
      </c>
      <c r="F180" s="83" t="s">
        <v>737</v>
      </c>
      <c r="G180" s="144" t="s">
        <v>568</v>
      </c>
      <c r="H180" s="75" t="s">
        <v>36</v>
      </c>
      <c r="I180" s="83" t="s">
        <v>90</v>
      </c>
      <c r="J180" s="144">
        <v>0</v>
      </c>
      <c r="K180" s="75" t="s">
        <v>850</v>
      </c>
      <c r="L180" s="83" t="s">
        <v>22</v>
      </c>
      <c r="M180" s="144" t="s">
        <v>244</v>
      </c>
      <c r="N180" s="76" t="s">
        <v>34</v>
      </c>
    </row>
    <row r="181" spans="1:14">
      <c r="A181" s="51" t="s">
        <v>139</v>
      </c>
      <c r="B181" s="126">
        <v>3437</v>
      </c>
      <c r="C181" s="122">
        <v>3556</v>
      </c>
      <c r="D181" s="144" t="s">
        <v>885</v>
      </c>
      <c r="E181" s="126">
        <v>3473</v>
      </c>
      <c r="F181" s="122">
        <v>3582</v>
      </c>
      <c r="G181" s="144" t="s">
        <v>474</v>
      </c>
      <c r="H181" s="126">
        <v>3479</v>
      </c>
      <c r="I181" s="122">
        <v>3557</v>
      </c>
      <c r="J181" s="144" t="s">
        <v>545</v>
      </c>
      <c r="K181" s="126">
        <v>3505</v>
      </c>
      <c r="L181" s="122">
        <v>3508</v>
      </c>
      <c r="M181" s="144" t="s">
        <v>473</v>
      </c>
      <c r="N181" s="145">
        <v>3568</v>
      </c>
    </row>
    <row r="182" spans="1:14">
      <c r="A182" s="51" t="s">
        <v>140</v>
      </c>
      <c r="B182" s="75" t="s">
        <v>552</v>
      </c>
      <c r="C182" s="83" t="s">
        <v>95</v>
      </c>
      <c r="D182" s="144" t="s">
        <v>615</v>
      </c>
      <c r="E182" s="75" t="s">
        <v>3</v>
      </c>
      <c r="F182" s="83" t="s">
        <v>3</v>
      </c>
      <c r="G182" s="144" t="s">
        <v>456</v>
      </c>
      <c r="H182" s="75" t="s">
        <v>783</v>
      </c>
      <c r="I182" s="83" t="s">
        <v>783</v>
      </c>
      <c r="J182" s="144" t="s">
        <v>292</v>
      </c>
      <c r="K182" s="75" t="s">
        <v>95</v>
      </c>
      <c r="L182" s="83" t="s">
        <v>95</v>
      </c>
      <c r="M182" s="144" t="s">
        <v>297</v>
      </c>
      <c r="N182" s="76" t="s">
        <v>35</v>
      </c>
    </row>
    <row r="183" spans="1:14">
      <c r="A183" s="51" t="s">
        <v>141</v>
      </c>
      <c r="B183" s="75" t="s">
        <v>854</v>
      </c>
      <c r="C183" s="83" t="s">
        <v>710</v>
      </c>
      <c r="D183" s="144" t="s">
        <v>230</v>
      </c>
      <c r="E183" s="75" t="s">
        <v>31</v>
      </c>
      <c r="F183" s="83" t="s">
        <v>616</v>
      </c>
      <c r="G183" s="144">
        <v>0.01</v>
      </c>
      <c r="H183" s="75" t="s">
        <v>112</v>
      </c>
      <c r="I183" s="83" t="s">
        <v>112</v>
      </c>
      <c r="J183" s="144" t="s">
        <v>926</v>
      </c>
      <c r="K183" s="75" t="s">
        <v>607</v>
      </c>
      <c r="L183" s="83" t="s">
        <v>607</v>
      </c>
      <c r="M183" s="144" t="s">
        <v>575</v>
      </c>
      <c r="N183" s="76" t="s">
        <v>36</v>
      </c>
    </row>
    <row r="184" spans="1:14">
      <c r="A184" s="52" t="s">
        <v>142</v>
      </c>
      <c r="B184" s="77" t="s">
        <v>109</v>
      </c>
      <c r="C184" s="78" t="s">
        <v>4</v>
      </c>
      <c r="D184" s="18" t="s">
        <v>277</v>
      </c>
      <c r="E184" s="77" t="s">
        <v>570</v>
      </c>
      <c r="F184" s="78" t="s">
        <v>879</v>
      </c>
      <c r="G184" s="18" t="s">
        <v>458</v>
      </c>
      <c r="H184" s="77" t="s">
        <v>625</v>
      </c>
      <c r="I184" s="78" t="s">
        <v>656</v>
      </c>
      <c r="J184" s="18" t="s">
        <v>848</v>
      </c>
      <c r="K184" s="77" t="s">
        <v>18</v>
      </c>
      <c r="L184" s="78" t="s">
        <v>18</v>
      </c>
      <c r="M184" s="18" t="s">
        <v>360</v>
      </c>
      <c r="N184" s="79" t="s">
        <v>38</v>
      </c>
    </row>
    <row r="185" spans="1:14">
      <c r="A185" s="97"/>
      <c r="B185" s="90" t="s">
        <v>216</v>
      </c>
      <c r="C185" s="91"/>
      <c r="D185" s="92"/>
      <c r="E185" s="90" t="s">
        <v>217</v>
      </c>
      <c r="F185" s="91"/>
      <c r="G185" s="92"/>
      <c r="H185" s="90" t="s">
        <v>218</v>
      </c>
      <c r="I185" s="91"/>
      <c r="J185" s="92"/>
      <c r="K185" s="90" t="s">
        <v>219</v>
      </c>
      <c r="L185" s="91"/>
      <c r="M185" s="92"/>
      <c r="N185" s="85" t="s">
        <v>143</v>
      </c>
    </row>
    <row r="186" spans="1:14">
      <c r="A186" s="98"/>
      <c r="B186" s="93"/>
      <c r="C186" s="96"/>
      <c r="D186" s="95"/>
      <c r="E186" s="93"/>
      <c r="F186" s="96"/>
      <c r="G186" s="95"/>
      <c r="H186" s="93"/>
      <c r="I186" s="96"/>
      <c r="J186" s="95"/>
      <c r="K186" s="93"/>
      <c r="L186" s="96"/>
      <c r="M186" s="95"/>
      <c r="N186" s="86"/>
    </row>
    <row r="187" spans="1:14" ht="17" thickBot="1">
      <c r="A187" s="84"/>
      <c r="B187" s="75"/>
      <c r="C187" s="13" t="s">
        <v>220</v>
      </c>
      <c r="D187" s="76"/>
      <c r="E187" s="75"/>
      <c r="F187" s="13" t="s">
        <v>221</v>
      </c>
      <c r="G187" s="76"/>
      <c r="H187" s="75"/>
      <c r="I187" s="13" t="s">
        <v>222</v>
      </c>
      <c r="J187" s="76"/>
      <c r="K187" s="75"/>
      <c r="L187" s="13" t="s">
        <v>223</v>
      </c>
      <c r="M187" s="76"/>
      <c r="N187" s="86"/>
    </row>
    <row r="188" spans="1:14" ht="17" thickTop="1">
      <c r="A188" s="143" t="s">
        <v>128</v>
      </c>
      <c r="B188" s="14" t="s">
        <v>0</v>
      </c>
      <c r="C188" s="15" t="s">
        <v>1</v>
      </c>
      <c r="D188" s="16" t="s">
        <v>129</v>
      </c>
      <c r="E188" s="14" t="s">
        <v>0</v>
      </c>
      <c r="F188" s="15" t="s">
        <v>1</v>
      </c>
      <c r="G188" s="16" t="s">
        <v>129</v>
      </c>
      <c r="H188" s="14" t="s">
        <v>0</v>
      </c>
      <c r="I188" s="15" t="s">
        <v>1</v>
      </c>
      <c r="J188" s="16" t="s">
        <v>129</v>
      </c>
      <c r="K188" s="14" t="s">
        <v>0</v>
      </c>
      <c r="L188" s="15" t="s">
        <v>1</v>
      </c>
      <c r="M188" s="16" t="s">
        <v>129</v>
      </c>
      <c r="N188" s="87"/>
    </row>
    <row r="189" spans="1:14">
      <c r="A189" s="51" t="s">
        <v>130</v>
      </c>
      <c r="B189" s="126">
        <v>9229</v>
      </c>
      <c r="C189" s="122">
        <v>9198</v>
      </c>
      <c r="D189" s="144" t="s">
        <v>662</v>
      </c>
      <c r="E189" s="75" t="s">
        <v>542</v>
      </c>
      <c r="F189" s="122">
        <v>8601</v>
      </c>
      <c r="G189" s="144">
        <v>0</v>
      </c>
      <c r="H189" s="126">
        <v>9093</v>
      </c>
      <c r="I189" s="122">
        <v>9052</v>
      </c>
      <c r="J189" s="144" t="s">
        <v>927</v>
      </c>
      <c r="K189" s="126">
        <v>9447</v>
      </c>
      <c r="L189" s="122">
        <v>9356</v>
      </c>
      <c r="M189" s="144" t="s">
        <v>648</v>
      </c>
      <c r="N189" s="145">
        <v>8209</v>
      </c>
    </row>
    <row r="190" spans="1:14">
      <c r="A190" s="51" t="s">
        <v>497</v>
      </c>
      <c r="B190" s="126">
        <v>-4221</v>
      </c>
      <c r="C190" s="122">
        <v>-4214</v>
      </c>
      <c r="D190" s="144" t="s">
        <v>407</v>
      </c>
      <c r="E190" s="126">
        <v>-4223</v>
      </c>
      <c r="F190" s="83" t="s">
        <v>928</v>
      </c>
      <c r="G190" s="144">
        <v>0</v>
      </c>
      <c r="H190" s="126">
        <v>-4482</v>
      </c>
      <c r="I190" s="122">
        <v>-4392</v>
      </c>
      <c r="J190" s="144" t="s">
        <v>375</v>
      </c>
      <c r="K190" s="75" t="s">
        <v>929</v>
      </c>
      <c r="L190" s="122">
        <v>-4126</v>
      </c>
      <c r="M190" s="144" t="s">
        <v>361</v>
      </c>
      <c r="N190" s="76" t="s">
        <v>550</v>
      </c>
    </row>
    <row r="191" spans="1:14">
      <c r="A191" s="51" t="s">
        <v>551</v>
      </c>
      <c r="B191" s="75" t="s">
        <v>557</v>
      </c>
      <c r="C191" s="83" t="s">
        <v>104</v>
      </c>
      <c r="D191" s="144" t="s">
        <v>896</v>
      </c>
      <c r="E191" s="75" t="s">
        <v>12</v>
      </c>
      <c r="F191" s="83" t="s">
        <v>100</v>
      </c>
      <c r="G191" s="144" t="s">
        <v>360</v>
      </c>
      <c r="H191" s="75" t="s">
        <v>21</v>
      </c>
      <c r="I191" s="83" t="s">
        <v>78</v>
      </c>
      <c r="J191" s="144" t="s">
        <v>301</v>
      </c>
      <c r="K191" s="75" t="s">
        <v>557</v>
      </c>
      <c r="L191" s="83" t="s">
        <v>104</v>
      </c>
      <c r="M191" s="144" t="s">
        <v>376</v>
      </c>
      <c r="N191" s="76" t="s">
        <v>11</v>
      </c>
    </row>
    <row r="192" spans="1:14">
      <c r="A192" s="51" t="s">
        <v>132</v>
      </c>
      <c r="B192" s="75" t="s">
        <v>829</v>
      </c>
      <c r="C192" s="83" t="s">
        <v>830</v>
      </c>
      <c r="D192" s="144">
        <v>0</v>
      </c>
      <c r="E192" s="75" t="s">
        <v>120</v>
      </c>
      <c r="F192" s="83" t="s">
        <v>813</v>
      </c>
      <c r="G192" s="144" t="s">
        <v>236</v>
      </c>
      <c r="H192" s="75" t="s">
        <v>704</v>
      </c>
      <c r="I192" s="83" t="s">
        <v>576</v>
      </c>
      <c r="J192" s="144" t="s">
        <v>568</v>
      </c>
      <c r="K192" s="75" t="s">
        <v>930</v>
      </c>
      <c r="L192" s="83" t="s">
        <v>819</v>
      </c>
      <c r="M192" s="144" t="s">
        <v>578</v>
      </c>
      <c r="N192" s="76" t="s">
        <v>29</v>
      </c>
    </row>
    <row r="193" spans="1:14">
      <c r="A193" s="51" t="s">
        <v>133</v>
      </c>
      <c r="B193" s="75" t="s">
        <v>931</v>
      </c>
      <c r="C193" s="83" t="s">
        <v>931</v>
      </c>
      <c r="D193" s="144" t="s">
        <v>761</v>
      </c>
      <c r="E193" s="75" t="s">
        <v>630</v>
      </c>
      <c r="F193" s="83" t="s">
        <v>930</v>
      </c>
      <c r="G193" s="144" t="s">
        <v>575</v>
      </c>
      <c r="H193" s="75" t="s">
        <v>749</v>
      </c>
      <c r="I193" s="83" t="s">
        <v>637</v>
      </c>
      <c r="J193" s="144" t="s">
        <v>285</v>
      </c>
      <c r="K193" s="75" t="s">
        <v>634</v>
      </c>
      <c r="L193" s="83" t="s">
        <v>932</v>
      </c>
      <c r="M193" s="144" t="s">
        <v>261</v>
      </c>
      <c r="N193" s="76" t="s">
        <v>30</v>
      </c>
    </row>
    <row r="194" spans="1:14">
      <c r="A194" s="51" t="s">
        <v>134</v>
      </c>
      <c r="B194" s="75" t="s">
        <v>79</v>
      </c>
      <c r="C194" s="83" t="s">
        <v>651</v>
      </c>
      <c r="D194" s="144" t="s">
        <v>261</v>
      </c>
      <c r="E194" s="75" t="s">
        <v>31</v>
      </c>
      <c r="F194" s="83" t="s">
        <v>31</v>
      </c>
      <c r="G194" s="144" t="s">
        <v>286</v>
      </c>
      <c r="H194" s="75" t="s">
        <v>25</v>
      </c>
      <c r="I194" s="83" t="s">
        <v>47</v>
      </c>
      <c r="J194" s="144">
        <v>0</v>
      </c>
      <c r="K194" s="75" t="s">
        <v>47</v>
      </c>
      <c r="L194" s="83" t="s">
        <v>47</v>
      </c>
      <c r="M194" s="144" t="s">
        <v>376</v>
      </c>
      <c r="N194" s="76" t="s">
        <v>31</v>
      </c>
    </row>
    <row r="195" spans="1:14">
      <c r="A195" s="51" t="s">
        <v>135</v>
      </c>
      <c r="B195" s="75" t="s">
        <v>556</v>
      </c>
      <c r="C195" s="83" t="s">
        <v>590</v>
      </c>
      <c r="D195" s="144" t="s">
        <v>624</v>
      </c>
      <c r="E195" s="75" t="s">
        <v>590</v>
      </c>
      <c r="F195" s="83" t="s">
        <v>791</v>
      </c>
      <c r="G195" s="144" t="s">
        <v>676</v>
      </c>
      <c r="H195" s="75" t="s">
        <v>24</v>
      </c>
      <c r="I195" s="83" t="s">
        <v>933</v>
      </c>
      <c r="J195" s="144" t="s">
        <v>278</v>
      </c>
      <c r="K195" s="75" t="s">
        <v>683</v>
      </c>
      <c r="L195" s="83" t="s">
        <v>689</v>
      </c>
      <c r="M195" s="144" t="s">
        <v>422</v>
      </c>
      <c r="N195" s="76" t="s">
        <v>32</v>
      </c>
    </row>
    <row r="196" spans="1:14">
      <c r="A196" s="51" t="s">
        <v>136</v>
      </c>
      <c r="B196" s="126">
        <v>1296</v>
      </c>
      <c r="C196" s="122">
        <v>1307</v>
      </c>
      <c r="D196" s="144" t="s">
        <v>421</v>
      </c>
      <c r="E196" s="126">
        <v>1296</v>
      </c>
      <c r="F196" s="122">
        <v>1292</v>
      </c>
      <c r="G196" s="144" t="s">
        <v>549</v>
      </c>
      <c r="H196" s="126">
        <v>1319</v>
      </c>
      <c r="I196" s="122">
        <v>1337</v>
      </c>
      <c r="J196" s="144" t="s">
        <v>279</v>
      </c>
      <c r="K196" s="126">
        <v>1319</v>
      </c>
      <c r="L196" s="122">
        <v>1561</v>
      </c>
      <c r="M196" s="144">
        <v>0</v>
      </c>
      <c r="N196" s="145">
        <v>1044</v>
      </c>
    </row>
    <row r="197" spans="1:14">
      <c r="A197" s="51" t="s">
        <v>498</v>
      </c>
      <c r="B197" s="75" t="s">
        <v>934</v>
      </c>
      <c r="C197" s="83" t="s">
        <v>935</v>
      </c>
      <c r="D197" s="144" t="s">
        <v>702</v>
      </c>
      <c r="E197" s="126">
        <v>12247</v>
      </c>
      <c r="F197" s="122">
        <v>12208</v>
      </c>
      <c r="G197" s="144" t="s">
        <v>273</v>
      </c>
      <c r="H197" s="126">
        <v>12206</v>
      </c>
      <c r="I197" s="122">
        <v>12212</v>
      </c>
      <c r="J197" s="144" t="s">
        <v>936</v>
      </c>
      <c r="K197" s="75" t="s">
        <v>937</v>
      </c>
      <c r="L197" s="122">
        <v>12266</v>
      </c>
      <c r="M197" s="144" t="s">
        <v>425</v>
      </c>
      <c r="N197" s="145">
        <v>11827</v>
      </c>
    </row>
    <row r="198" spans="1:14">
      <c r="A198" s="51" t="s">
        <v>137</v>
      </c>
      <c r="B198" s="75" t="s">
        <v>938</v>
      </c>
      <c r="C198" s="83" t="s">
        <v>939</v>
      </c>
      <c r="D198" s="144" t="s">
        <v>940</v>
      </c>
      <c r="E198" s="75" t="s">
        <v>941</v>
      </c>
      <c r="F198" s="83" t="s">
        <v>942</v>
      </c>
      <c r="G198" s="144" t="s">
        <v>435</v>
      </c>
      <c r="H198" s="75" t="s">
        <v>943</v>
      </c>
      <c r="I198" s="83" t="s">
        <v>944</v>
      </c>
      <c r="J198" s="144" t="s">
        <v>624</v>
      </c>
      <c r="K198" s="75" t="s">
        <v>945</v>
      </c>
      <c r="L198" s="83" t="s">
        <v>946</v>
      </c>
      <c r="M198" s="144">
        <v>0</v>
      </c>
      <c r="N198" s="76" t="s">
        <v>33</v>
      </c>
    </row>
    <row r="199" spans="1:14">
      <c r="A199" s="51" t="s">
        <v>138</v>
      </c>
      <c r="B199" s="75" t="s">
        <v>82</v>
      </c>
      <c r="C199" s="83" t="s">
        <v>652</v>
      </c>
      <c r="D199" s="144" t="s">
        <v>236</v>
      </c>
      <c r="E199" s="75" t="s">
        <v>106</v>
      </c>
      <c r="F199" s="83" t="s">
        <v>710</v>
      </c>
      <c r="G199" s="144" t="s">
        <v>367</v>
      </c>
      <c r="H199" s="75" t="s">
        <v>31</v>
      </c>
      <c r="I199" s="83" t="s">
        <v>712</v>
      </c>
      <c r="J199" s="144">
        <v>0</v>
      </c>
      <c r="K199" s="75" t="s">
        <v>607</v>
      </c>
      <c r="L199" s="83" t="s">
        <v>621</v>
      </c>
      <c r="M199" s="144" t="s">
        <v>244</v>
      </c>
      <c r="N199" s="76" t="s">
        <v>34</v>
      </c>
    </row>
    <row r="200" spans="1:14">
      <c r="A200" s="51" t="s">
        <v>139</v>
      </c>
      <c r="B200" s="126">
        <v>3471</v>
      </c>
      <c r="C200" s="122">
        <v>3476</v>
      </c>
      <c r="D200" s="144" t="s">
        <v>430</v>
      </c>
      <c r="E200" s="126">
        <v>3533</v>
      </c>
      <c r="F200" s="122">
        <v>3613</v>
      </c>
      <c r="G200" s="144" t="s">
        <v>545</v>
      </c>
      <c r="H200" s="126">
        <v>3419</v>
      </c>
      <c r="I200" s="122">
        <v>3468</v>
      </c>
      <c r="J200" s="144" t="s">
        <v>278</v>
      </c>
      <c r="K200" s="126">
        <v>3471</v>
      </c>
      <c r="L200" s="122">
        <v>3486</v>
      </c>
      <c r="M200" s="144" t="s">
        <v>292</v>
      </c>
      <c r="N200" s="145">
        <v>3568</v>
      </c>
    </row>
    <row r="201" spans="1:14">
      <c r="A201" s="51" t="s">
        <v>140</v>
      </c>
      <c r="B201" s="75" t="s">
        <v>897</v>
      </c>
      <c r="C201" s="83" t="s">
        <v>897</v>
      </c>
      <c r="D201" s="144">
        <v>7.0000000000000007E-2</v>
      </c>
      <c r="E201" s="75" t="s">
        <v>86</v>
      </c>
      <c r="F201" s="83" t="s">
        <v>20</v>
      </c>
      <c r="G201" s="144">
        <v>0.11</v>
      </c>
      <c r="H201" s="75" t="s">
        <v>3</v>
      </c>
      <c r="I201" s="83" t="s">
        <v>23</v>
      </c>
      <c r="J201" s="144" t="s">
        <v>468</v>
      </c>
      <c r="K201" s="75" t="s">
        <v>784</v>
      </c>
      <c r="L201" s="83" t="s">
        <v>10</v>
      </c>
      <c r="M201" s="144" t="s">
        <v>376</v>
      </c>
      <c r="N201" s="76" t="s">
        <v>35</v>
      </c>
    </row>
    <row r="202" spans="1:14">
      <c r="A202" s="51" t="s">
        <v>141</v>
      </c>
      <c r="B202" s="75" t="s">
        <v>102</v>
      </c>
      <c r="C202" s="83" t="s">
        <v>93</v>
      </c>
      <c r="D202" s="144" t="s">
        <v>296</v>
      </c>
      <c r="E202" s="75" t="s">
        <v>681</v>
      </c>
      <c r="F202" s="83" t="s">
        <v>897</v>
      </c>
      <c r="G202" s="144" t="s">
        <v>369</v>
      </c>
      <c r="H202" s="75" t="s">
        <v>102</v>
      </c>
      <c r="I202" s="83" t="s">
        <v>106</v>
      </c>
      <c r="J202" s="144" t="s">
        <v>545</v>
      </c>
      <c r="K202" s="75" t="s">
        <v>792</v>
      </c>
      <c r="L202" s="83" t="s">
        <v>83</v>
      </c>
      <c r="M202" s="144" t="s">
        <v>947</v>
      </c>
      <c r="N202" s="76" t="s">
        <v>36</v>
      </c>
    </row>
    <row r="203" spans="1:14">
      <c r="A203" s="52" t="s">
        <v>142</v>
      </c>
      <c r="B203" s="77" t="s">
        <v>104</v>
      </c>
      <c r="C203" s="78" t="s">
        <v>582</v>
      </c>
      <c r="D203" s="18" t="s">
        <v>761</v>
      </c>
      <c r="E203" s="77" t="s">
        <v>579</v>
      </c>
      <c r="F203" s="78" t="s">
        <v>608</v>
      </c>
      <c r="G203" s="18" t="s">
        <v>705</v>
      </c>
      <c r="H203" s="77" t="s">
        <v>948</v>
      </c>
      <c r="I203" s="78" t="s">
        <v>783</v>
      </c>
      <c r="J203" s="18" t="s">
        <v>611</v>
      </c>
      <c r="K203" s="77" t="s">
        <v>84</v>
      </c>
      <c r="L203" s="78" t="s">
        <v>580</v>
      </c>
      <c r="M203" s="18">
        <v>0</v>
      </c>
      <c r="N203" s="79" t="s">
        <v>38</v>
      </c>
    </row>
  </sheetData>
  <mergeCells count="64">
    <mergeCell ref="A185:A186"/>
    <mergeCell ref="B185:D186"/>
    <mergeCell ref="E185:G186"/>
    <mergeCell ref="H185:J186"/>
    <mergeCell ref="K185:M186"/>
    <mergeCell ref="N185:N188"/>
    <mergeCell ref="A166:A167"/>
    <mergeCell ref="B166:D167"/>
    <mergeCell ref="E166:G167"/>
    <mergeCell ref="H166:J167"/>
    <mergeCell ref="K166:M167"/>
    <mergeCell ref="N166:N169"/>
    <mergeCell ref="Q126:S127"/>
    <mergeCell ref="T126:T129"/>
    <mergeCell ref="A145:A146"/>
    <mergeCell ref="B145:D146"/>
    <mergeCell ref="E145:G146"/>
    <mergeCell ref="H145:J146"/>
    <mergeCell ref="K145:M146"/>
    <mergeCell ref="N145:P146"/>
    <mergeCell ref="Q145:S146"/>
    <mergeCell ref="T145:T148"/>
    <mergeCell ref="A126:A127"/>
    <mergeCell ref="B126:D127"/>
    <mergeCell ref="E126:G127"/>
    <mergeCell ref="H126:J127"/>
    <mergeCell ref="K126:M127"/>
    <mergeCell ref="N126:P127"/>
    <mergeCell ref="T63:T66"/>
    <mergeCell ref="A84:A85"/>
    <mergeCell ref="B84:D85"/>
    <mergeCell ref="E84:E87"/>
    <mergeCell ref="A105:A106"/>
    <mergeCell ref="B105:D106"/>
    <mergeCell ref="E105:G106"/>
    <mergeCell ref="H105:H108"/>
    <mergeCell ref="Q41:Q44"/>
    <mergeCell ref="A63:A64"/>
    <mergeCell ref="B63:D64"/>
    <mergeCell ref="E63:G64"/>
    <mergeCell ref="H63:J64"/>
    <mergeCell ref="K63:M64"/>
    <mergeCell ref="N63:P64"/>
    <mergeCell ref="Q63:S64"/>
    <mergeCell ref="A41:A42"/>
    <mergeCell ref="B41:D42"/>
    <mergeCell ref="E41:G42"/>
    <mergeCell ref="H41:J42"/>
    <mergeCell ref="K41:M42"/>
    <mergeCell ref="N41:P42"/>
    <mergeCell ref="Q1:Q4"/>
    <mergeCell ref="A22:A23"/>
    <mergeCell ref="B22:D23"/>
    <mergeCell ref="E22:G23"/>
    <mergeCell ref="H22:J23"/>
    <mergeCell ref="K22:M23"/>
    <mergeCell ref="N22:P23"/>
    <mergeCell ref="Q22:Q25"/>
    <mergeCell ref="A1:A2"/>
    <mergeCell ref="B1:D2"/>
    <mergeCell ref="E1:G2"/>
    <mergeCell ref="H1:J2"/>
    <mergeCell ref="K1:M2"/>
    <mergeCell ref="N1:P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250-9D6B-934B-B02E-6874BB5ADCBD}">
  <dimension ref="A1:AD194"/>
  <sheetViews>
    <sheetView workbookViewId="0">
      <selection activeCell="B15" sqref="B15"/>
    </sheetView>
  </sheetViews>
  <sheetFormatPr baseColWidth="10" defaultRowHeight="16"/>
  <cols>
    <col min="1" max="1" width="58.33203125" bestFit="1" customWidth="1"/>
    <col min="2" max="3" width="8.1640625" bestFit="1" customWidth="1"/>
    <col min="4" max="4" width="9.1640625" bestFit="1" customWidth="1"/>
    <col min="5" max="5" width="8.1640625" bestFit="1" customWidth="1"/>
    <col min="6" max="6" width="9.1640625" bestFit="1" customWidth="1"/>
    <col min="7" max="7" width="8.1640625" bestFit="1" customWidth="1"/>
    <col min="8" max="8" width="9.1640625" bestFit="1" customWidth="1"/>
    <col min="9" max="10" width="8.1640625" bestFit="1" customWidth="1"/>
    <col min="11" max="11" width="9.1640625" bestFit="1" customWidth="1"/>
    <col min="12" max="12" width="8.1640625" bestFit="1" customWidth="1"/>
    <col min="13" max="13" width="9.1640625" bestFit="1" customWidth="1"/>
    <col min="14" max="14" width="8.1640625" bestFit="1" customWidth="1"/>
    <col min="15" max="15" width="9.33203125" bestFit="1" customWidth="1"/>
    <col min="16" max="17" width="8.1640625" bestFit="1" customWidth="1"/>
    <col min="18" max="18" width="9.1640625" bestFit="1" customWidth="1"/>
    <col min="19" max="19" width="8.1640625" bestFit="1" customWidth="1"/>
    <col min="20" max="20" width="9.1640625" bestFit="1" customWidth="1"/>
    <col min="21" max="21" width="11" customWidth="1"/>
    <col min="22" max="22" width="9.1640625" bestFit="1" customWidth="1"/>
    <col min="23" max="24" width="8.1640625" bestFit="1" customWidth="1"/>
    <col min="25" max="25" width="9.1640625" bestFit="1" customWidth="1"/>
    <col min="26" max="26" width="8.1640625" bestFit="1" customWidth="1"/>
    <col min="27" max="27" width="9.1640625" bestFit="1" customWidth="1"/>
    <col min="28" max="28" width="8.1640625" bestFit="1" customWidth="1"/>
    <col min="29" max="29" width="9.1640625" bestFit="1" customWidth="1"/>
    <col min="30" max="30" width="11" customWidth="1"/>
  </cols>
  <sheetData>
    <row r="1" spans="1:23">
      <c r="A1" s="146" t="s">
        <v>71</v>
      </c>
      <c r="B1" s="100" t="s">
        <v>208</v>
      </c>
      <c r="C1" s="147"/>
      <c r="D1" s="147"/>
      <c r="E1" s="147"/>
      <c r="F1" s="147"/>
      <c r="G1" s="147"/>
      <c r="H1" s="148"/>
      <c r="I1" s="100" t="s">
        <v>209</v>
      </c>
      <c r="J1" s="147"/>
      <c r="K1" s="147"/>
      <c r="L1" s="147"/>
      <c r="M1" s="147"/>
      <c r="N1" s="147"/>
      <c r="O1" s="148"/>
      <c r="P1" s="100" t="s">
        <v>210</v>
      </c>
      <c r="Q1" s="147"/>
      <c r="R1" s="147"/>
      <c r="S1" s="147"/>
      <c r="T1" s="147"/>
      <c r="U1" s="147"/>
      <c r="V1" s="148"/>
      <c r="W1" s="149" t="s">
        <v>143</v>
      </c>
    </row>
    <row r="2" spans="1:23">
      <c r="A2" s="150"/>
      <c r="B2" s="104"/>
      <c r="C2" s="96"/>
      <c r="D2" s="96"/>
      <c r="E2" s="96"/>
      <c r="F2" s="96"/>
      <c r="G2" s="96"/>
      <c r="H2" s="151"/>
      <c r="I2" s="104"/>
      <c r="J2" s="96"/>
      <c r="K2" s="96"/>
      <c r="L2" s="96"/>
      <c r="M2" s="96"/>
      <c r="N2" s="96"/>
      <c r="O2" s="151"/>
      <c r="P2" s="104"/>
      <c r="Q2" s="96"/>
      <c r="R2" s="96"/>
      <c r="S2" s="96"/>
      <c r="T2" s="96"/>
      <c r="U2" s="96"/>
      <c r="V2" s="151"/>
      <c r="W2" s="152"/>
    </row>
    <row r="3" spans="1:23">
      <c r="A3" s="153"/>
      <c r="B3" s="154" t="s">
        <v>212</v>
      </c>
      <c r="C3" s="89"/>
      <c r="D3" s="89"/>
      <c r="E3" s="89"/>
      <c r="F3" s="89"/>
      <c r="G3" s="89"/>
      <c r="H3" s="155"/>
      <c r="I3" s="154" t="s">
        <v>213</v>
      </c>
      <c r="J3" s="89"/>
      <c r="K3" s="89"/>
      <c r="L3" s="89"/>
      <c r="M3" s="89"/>
      <c r="N3" s="89"/>
      <c r="O3" s="155"/>
      <c r="P3" s="154" t="s">
        <v>214</v>
      </c>
      <c r="Q3" s="89"/>
      <c r="R3" s="89"/>
      <c r="S3" s="89"/>
      <c r="T3" s="89"/>
      <c r="U3" s="89"/>
      <c r="V3" s="155"/>
      <c r="W3" s="152"/>
    </row>
    <row r="4" spans="1:23">
      <c r="A4" s="156" t="s">
        <v>128</v>
      </c>
      <c r="B4" s="157" t="s">
        <v>0</v>
      </c>
      <c r="C4" s="158" t="s">
        <v>506</v>
      </c>
      <c r="D4" s="159" t="s">
        <v>949</v>
      </c>
      <c r="E4" s="160" t="s">
        <v>508</v>
      </c>
      <c r="F4" s="159" t="s">
        <v>950</v>
      </c>
      <c r="G4" s="160" t="s">
        <v>509</v>
      </c>
      <c r="H4" s="161" t="s">
        <v>951</v>
      </c>
      <c r="I4" s="157" t="s">
        <v>0</v>
      </c>
      <c r="J4" s="160" t="s">
        <v>506</v>
      </c>
      <c r="K4" s="159" t="s">
        <v>949</v>
      </c>
      <c r="L4" s="160" t="s">
        <v>508</v>
      </c>
      <c r="M4" s="159" t="s">
        <v>950</v>
      </c>
      <c r="N4" s="160" t="s">
        <v>509</v>
      </c>
      <c r="O4" s="161" t="s">
        <v>951</v>
      </c>
      <c r="P4" s="157" t="s">
        <v>0</v>
      </c>
      <c r="Q4" s="160" t="s">
        <v>506</v>
      </c>
      <c r="R4" s="159" t="s">
        <v>949</v>
      </c>
      <c r="S4" s="160" t="s">
        <v>508</v>
      </c>
      <c r="T4" s="159" t="s">
        <v>950</v>
      </c>
      <c r="U4" s="160" t="s">
        <v>509</v>
      </c>
      <c r="V4" s="161" t="s">
        <v>951</v>
      </c>
      <c r="W4" s="162"/>
    </row>
    <row r="5" spans="1:23">
      <c r="A5" s="163" t="s">
        <v>130</v>
      </c>
      <c r="B5" s="164">
        <v>10154</v>
      </c>
      <c r="C5" s="122">
        <v>9622</v>
      </c>
      <c r="D5" s="144" t="s">
        <v>244</v>
      </c>
      <c r="E5" s="122">
        <v>10127</v>
      </c>
      <c r="F5" s="23" t="s">
        <v>680</v>
      </c>
      <c r="G5" s="126">
        <v>10186</v>
      </c>
      <c r="H5" s="165" t="s">
        <v>305</v>
      </c>
      <c r="I5" s="164">
        <v>9125</v>
      </c>
      <c r="J5" s="126">
        <v>8436</v>
      </c>
      <c r="K5" s="144" t="s">
        <v>244</v>
      </c>
      <c r="L5" s="122" t="s">
        <v>952</v>
      </c>
      <c r="M5" s="23" t="s">
        <v>421</v>
      </c>
      <c r="N5" s="126">
        <v>9091</v>
      </c>
      <c r="O5" s="165" t="s">
        <v>249</v>
      </c>
      <c r="P5" s="164">
        <v>9154</v>
      </c>
      <c r="Q5" s="126">
        <v>9096</v>
      </c>
      <c r="R5" s="144" t="s">
        <v>642</v>
      </c>
      <c r="S5" s="122">
        <v>9139</v>
      </c>
      <c r="T5" s="23" t="s">
        <v>291</v>
      </c>
      <c r="U5" s="126">
        <v>9109</v>
      </c>
      <c r="V5" s="165" t="s">
        <v>953</v>
      </c>
      <c r="W5" s="164">
        <v>8209</v>
      </c>
    </row>
    <row r="6" spans="1:23">
      <c r="A6" s="163" t="s">
        <v>497</v>
      </c>
      <c r="B6" s="164" t="s">
        <v>899</v>
      </c>
      <c r="C6" s="122" t="s">
        <v>824</v>
      </c>
      <c r="D6" s="144" t="s">
        <v>632</v>
      </c>
      <c r="E6" s="122">
        <v>-3507</v>
      </c>
      <c r="F6" s="23" t="s">
        <v>361</v>
      </c>
      <c r="G6" s="126">
        <v>-3349</v>
      </c>
      <c r="H6" s="165" t="s">
        <v>707</v>
      </c>
      <c r="I6" s="164">
        <v>-4094</v>
      </c>
      <c r="J6" s="126">
        <v>-4521</v>
      </c>
      <c r="K6" s="144" t="s">
        <v>429</v>
      </c>
      <c r="L6" s="122">
        <v>-4096</v>
      </c>
      <c r="M6" s="23" t="s">
        <v>430</v>
      </c>
      <c r="N6" s="126">
        <v>-4074</v>
      </c>
      <c r="O6" s="165" t="s">
        <v>615</v>
      </c>
      <c r="P6" s="164">
        <v>-4171</v>
      </c>
      <c r="Q6" s="126">
        <v>-4128</v>
      </c>
      <c r="R6" s="144" t="s">
        <v>545</v>
      </c>
      <c r="S6" s="122">
        <v>-4162</v>
      </c>
      <c r="T6" s="21">
        <v>0.15</v>
      </c>
      <c r="U6" s="126">
        <v>-4134</v>
      </c>
      <c r="V6" s="166">
        <v>0.09</v>
      </c>
      <c r="W6" s="167" t="s">
        <v>550</v>
      </c>
    </row>
    <row r="7" spans="1:23">
      <c r="A7" s="163" t="s">
        <v>551</v>
      </c>
      <c r="B7" s="167" t="s">
        <v>901</v>
      </c>
      <c r="C7" s="83" t="s">
        <v>557</v>
      </c>
      <c r="D7" s="144" t="s">
        <v>423</v>
      </c>
      <c r="E7" s="122" t="s">
        <v>954</v>
      </c>
      <c r="F7" s="23" t="s">
        <v>286</v>
      </c>
      <c r="G7" s="75" t="s">
        <v>112</v>
      </c>
      <c r="H7" s="165" t="s">
        <v>245</v>
      </c>
      <c r="I7" s="167" t="s">
        <v>608</v>
      </c>
      <c r="J7" s="75" t="s">
        <v>554</v>
      </c>
      <c r="K7" s="144" t="s">
        <v>385</v>
      </c>
      <c r="L7" s="122" t="s">
        <v>78</v>
      </c>
      <c r="M7" s="23" t="s">
        <v>364</v>
      </c>
      <c r="N7" s="75" t="s">
        <v>100</v>
      </c>
      <c r="O7" s="165" t="s">
        <v>955</v>
      </c>
      <c r="P7" s="167" t="s">
        <v>106</v>
      </c>
      <c r="Q7" s="75" t="s">
        <v>674</v>
      </c>
      <c r="R7" s="168">
        <v>0</v>
      </c>
      <c r="S7" s="83" t="s">
        <v>582</v>
      </c>
      <c r="T7" s="23" t="s">
        <v>575</v>
      </c>
      <c r="U7" s="75" t="s">
        <v>104</v>
      </c>
      <c r="V7" s="165" t="s">
        <v>956</v>
      </c>
      <c r="W7" s="167" t="s">
        <v>11</v>
      </c>
    </row>
    <row r="8" spans="1:23">
      <c r="A8" s="163" t="s">
        <v>132</v>
      </c>
      <c r="B8" s="167" t="s">
        <v>762</v>
      </c>
      <c r="C8" s="83" t="s">
        <v>876</v>
      </c>
      <c r="D8" s="144" t="s">
        <v>795</v>
      </c>
      <c r="E8" s="83" t="s">
        <v>957</v>
      </c>
      <c r="F8" s="21">
        <v>0.03</v>
      </c>
      <c r="G8" s="75" t="s">
        <v>958</v>
      </c>
      <c r="H8" s="166">
        <v>0</v>
      </c>
      <c r="I8" s="167" t="s">
        <v>902</v>
      </c>
      <c r="J8" s="75" t="s">
        <v>903</v>
      </c>
      <c r="K8" s="144" t="s">
        <v>280</v>
      </c>
      <c r="L8" s="83" t="s">
        <v>877</v>
      </c>
      <c r="M8" s="23" t="s">
        <v>294</v>
      </c>
      <c r="N8" s="75" t="s">
        <v>877</v>
      </c>
      <c r="O8" s="165" t="s">
        <v>361</v>
      </c>
      <c r="P8" s="167" t="s">
        <v>904</v>
      </c>
      <c r="Q8" s="75" t="s">
        <v>699</v>
      </c>
      <c r="R8" s="144" t="s">
        <v>385</v>
      </c>
      <c r="S8" s="83" t="s">
        <v>959</v>
      </c>
      <c r="T8" s="23" t="s">
        <v>273</v>
      </c>
      <c r="U8" s="75" t="s">
        <v>959</v>
      </c>
      <c r="V8" s="165" t="s">
        <v>305</v>
      </c>
      <c r="W8" s="167" t="s">
        <v>29</v>
      </c>
    </row>
    <row r="9" spans="1:23">
      <c r="A9" s="163" t="s">
        <v>133</v>
      </c>
      <c r="B9" s="167" t="s">
        <v>907</v>
      </c>
      <c r="C9" s="83" t="s">
        <v>908</v>
      </c>
      <c r="D9" s="144" t="s">
        <v>413</v>
      </c>
      <c r="E9" s="83" t="s">
        <v>960</v>
      </c>
      <c r="F9" s="23" t="s">
        <v>470</v>
      </c>
      <c r="G9" s="75" t="s">
        <v>694</v>
      </c>
      <c r="H9" s="165" t="s">
        <v>289</v>
      </c>
      <c r="I9" s="167" t="s">
        <v>631</v>
      </c>
      <c r="J9" s="75" t="s">
        <v>909</v>
      </c>
      <c r="K9" s="144" t="s">
        <v>236</v>
      </c>
      <c r="L9" s="83" t="s">
        <v>961</v>
      </c>
      <c r="M9" s="23" t="s">
        <v>424</v>
      </c>
      <c r="N9" s="75" t="s">
        <v>961</v>
      </c>
      <c r="O9" s="165" t="s">
        <v>558</v>
      </c>
      <c r="P9" s="167" t="s">
        <v>703</v>
      </c>
      <c r="Q9" s="75" t="s">
        <v>592</v>
      </c>
      <c r="R9" s="144" t="s">
        <v>910</v>
      </c>
      <c r="S9" s="83" t="s">
        <v>762</v>
      </c>
      <c r="T9" s="23" t="s">
        <v>280</v>
      </c>
      <c r="U9" s="75" t="s">
        <v>962</v>
      </c>
      <c r="V9" s="165" t="s">
        <v>422</v>
      </c>
      <c r="W9" s="167" t="s">
        <v>30</v>
      </c>
    </row>
    <row r="10" spans="1:23">
      <c r="A10" s="163" t="s">
        <v>134</v>
      </c>
      <c r="B10" s="167" t="s">
        <v>850</v>
      </c>
      <c r="C10" s="83" t="s">
        <v>31</v>
      </c>
      <c r="D10" s="144" t="s">
        <v>375</v>
      </c>
      <c r="E10" s="83" t="s">
        <v>38</v>
      </c>
      <c r="F10" s="23" t="s">
        <v>259</v>
      </c>
      <c r="G10" s="75" t="s">
        <v>84</v>
      </c>
      <c r="H10" s="165" t="s">
        <v>553</v>
      </c>
      <c r="I10" s="167" t="s">
        <v>78</v>
      </c>
      <c r="J10" s="75" t="s">
        <v>21</v>
      </c>
      <c r="K10" s="144" t="s">
        <v>912</v>
      </c>
      <c r="L10" s="83" t="s">
        <v>21</v>
      </c>
      <c r="M10" s="23" t="s">
        <v>610</v>
      </c>
      <c r="N10" s="75" t="s">
        <v>21</v>
      </c>
      <c r="O10" s="165" t="s">
        <v>265</v>
      </c>
      <c r="P10" s="167" t="s">
        <v>31</v>
      </c>
      <c r="Q10" s="75" t="s">
        <v>17</v>
      </c>
      <c r="R10" s="144" t="s">
        <v>303</v>
      </c>
      <c r="S10" s="83" t="s">
        <v>17</v>
      </c>
      <c r="T10" s="23" t="s">
        <v>385</v>
      </c>
      <c r="U10" s="75" t="s">
        <v>17</v>
      </c>
      <c r="V10" s="165" t="s">
        <v>434</v>
      </c>
      <c r="W10" s="167" t="s">
        <v>31</v>
      </c>
    </row>
    <row r="11" spans="1:23">
      <c r="A11" s="163" t="s">
        <v>135</v>
      </c>
      <c r="B11" s="167" t="s">
        <v>15</v>
      </c>
      <c r="C11" s="83" t="s">
        <v>727</v>
      </c>
      <c r="D11" s="168">
        <v>0.1</v>
      </c>
      <c r="E11" s="83" t="s">
        <v>727</v>
      </c>
      <c r="F11" s="23" t="s">
        <v>430</v>
      </c>
      <c r="G11" s="126" t="s">
        <v>963</v>
      </c>
      <c r="H11" s="165" t="s">
        <v>430</v>
      </c>
      <c r="I11" s="167" t="s">
        <v>690</v>
      </c>
      <c r="J11" s="75" t="s">
        <v>654</v>
      </c>
      <c r="K11" s="144" t="s">
        <v>385</v>
      </c>
      <c r="L11" s="83" t="s">
        <v>686</v>
      </c>
      <c r="M11" s="23" t="s">
        <v>399</v>
      </c>
      <c r="N11" s="126" t="s">
        <v>689</v>
      </c>
      <c r="O11" s="165">
        <v>0</v>
      </c>
      <c r="P11" s="167" t="s">
        <v>803</v>
      </c>
      <c r="Q11" s="75" t="s">
        <v>838</v>
      </c>
      <c r="R11" s="144" t="s">
        <v>795</v>
      </c>
      <c r="S11" s="83" t="s">
        <v>588</v>
      </c>
      <c r="T11" s="23" t="s">
        <v>545</v>
      </c>
      <c r="U11" s="126" t="s">
        <v>691</v>
      </c>
      <c r="V11" s="165" t="s">
        <v>301</v>
      </c>
      <c r="W11" s="167" t="s">
        <v>32</v>
      </c>
    </row>
    <row r="12" spans="1:23">
      <c r="A12" s="163" t="s">
        <v>136</v>
      </c>
      <c r="B12" s="164">
        <v>1973</v>
      </c>
      <c r="C12" s="122">
        <v>1788</v>
      </c>
      <c r="D12" s="144" t="s">
        <v>302</v>
      </c>
      <c r="E12" s="122">
        <v>1759</v>
      </c>
      <c r="F12" s="23" t="s">
        <v>297</v>
      </c>
      <c r="G12" s="126">
        <v>1751</v>
      </c>
      <c r="H12" s="165" t="s">
        <v>707</v>
      </c>
      <c r="I12" s="167" t="s">
        <v>914</v>
      </c>
      <c r="J12" s="126">
        <v>1193</v>
      </c>
      <c r="K12" s="168" t="s">
        <v>768</v>
      </c>
      <c r="L12" s="122">
        <v>1309</v>
      </c>
      <c r="M12" s="23" t="s">
        <v>273</v>
      </c>
      <c r="N12" s="126">
        <v>1293</v>
      </c>
      <c r="O12" s="165" t="s">
        <v>584</v>
      </c>
      <c r="P12" s="167" t="s">
        <v>914</v>
      </c>
      <c r="Q12" s="75" t="s">
        <v>915</v>
      </c>
      <c r="R12" s="168" t="s">
        <v>244</v>
      </c>
      <c r="S12" s="122">
        <v>1294</v>
      </c>
      <c r="T12" s="23" t="s">
        <v>422</v>
      </c>
      <c r="U12" s="126">
        <v>1269</v>
      </c>
      <c r="V12" s="165" t="s">
        <v>369</v>
      </c>
      <c r="W12" s="164">
        <v>1044</v>
      </c>
    </row>
    <row r="13" spans="1:23">
      <c r="A13" s="163" t="s">
        <v>498</v>
      </c>
      <c r="B13" s="164">
        <v>12288</v>
      </c>
      <c r="C13" s="122" t="s">
        <v>916</v>
      </c>
      <c r="D13" s="144" t="s">
        <v>840</v>
      </c>
      <c r="E13" s="122">
        <v>12572</v>
      </c>
      <c r="F13" s="23" t="s">
        <v>270</v>
      </c>
      <c r="G13" s="126">
        <v>12475</v>
      </c>
      <c r="H13" s="165" t="s">
        <v>367</v>
      </c>
      <c r="I13" s="164" t="s">
        <v>917</v>
      </c>
      <c r="J13" s="126">
        <v>11886</v>
      </c>
      <c r="K13" s="144" t="s">
        <v>287</v>
      </c>
      <c r="L13" s="122">
        <v>12008</v>
      </c>
      <c r="M13" s="23" t="s">
        <v>248</v>
      </c>
      <c r="N13" s="126" t="s">
        <v>964</v>
      </c>
      <c r="O13" s="165" t="s">
        <v>301</v>
      </c>
      <c r="P13" s="164" t="s">
        <v>918</v>
      </c>
      <c r="Q13" s="126">
        <v>12061</v>
      </c>
      <c r="R13" s="144" t="s">
        <v>236</v>
      </c>
      <c r="S13" s="122">
        <v>12131</v>
      </c>
      <c r="T13" s="23" t="s">
        <v>676</v>
      </c>
      <c r="U13" s="126">
        <v>12145</v>
      </c>
      <c r="V13" s="166">
        <v>7.0000000000000007E-2</v>
      </c>
      <c r="W13" s="164">
        <v>11827</v>
      </c>
    </row>
    <row r="14" spans="1:23">
      <c r="A14" s="163" t="s">
        <v>137</v>
      </c>
      <c r="B14" s="167" t="s">
        <v>920</v>
      </c>
      <c r="C14" s="83" t="s">
        <v>921</v>
      </c>
      <c r="D14" s="144" t="s">
        <v>244</v>
      </c>
      <c r="E14" s="122" t="s">
        <v>965</v>
      </c>
      <c r="F14" s="23" t="s">
        <v>822</v>
      </c>
      <c r="G14" s="75" t="s">
        <v>966</v>
      </c>
      <c r="H14" s="165" t="s">
        <v>232</v>
      </c>
      <c r="I14" s="167" t="s">
        <v>922</v>
      </c>
      <c r="J14" s="75" t="s">
        <v>923</v>
      </c>
      <c r="K14" s="168">
        <v>0.24</v>
      </c>
      <c r="L14" s="122" t="s">
        <v>945</v>
      </c>
      <c r="M14" s="21">
        <v>0</v>
      </c>
      <c r="N14" s="75" t="s">
        <v>967</v>
      </c>
      <c r="O14" s="165" t="s">
        <v>430</v>
      </c>
      <c r="P14" s="167" t="s">
        <v>924</v>
      </c>
      <c r="Q14" s="75" t="s">
        <v>925</v>
      </c>
      <c r="R14" s="144" t="s">
        <v>244</v>
      </c>
      <c r="S14" s="122" t="s">
        <v>968</v>
      </c>
      <c r="T14" s="23" t="s">
        <v>399</v>
      </c>
      <c r="U14" s="75" t="s">
        <v>969</v>
      </c>
      <c r="V14" s="165" t="s">
        <v>246</v>
      </c>
      <c r="W14" s="167" t="s">
        <v>33</v>
      </c>
    </row>
    <row r="15" spans="1:23">
      <c r="A15" s="163" t="s">
        <v>138</v>
      </c>
      <c r="B15" s="167" t="s">
        <v>12</v>
      </c>
      <c r="C15" s="83" t="s">
        <v>893</v>
      </c>
      <c r="D15" s="144" t="s">
        <v>430</v>
      </c>
      <c r="E15" s="83" t="s">
        <v>892</v>
      </c>
      <c r="F15" s="23" t="s">
        <v>238</v>
      </c>
      <c r="G15" s="126" t="s">
        <v>878</v>
      </c>
      <c r="H15" s="165" t="s">
        <v>270</v>
      </c>
      <c r="I15" s="167" t="s">
        <v>31</v>
      </c>
      <c r="J15" s="75" t="s">
        <v>737</v>
      </c>
      <c r="K15" s="144" t="s">
        <v>568</v>
      </c>
      <c r="L15" s="83" t="s">
        <v>72</v>
      </c>
      <c r="M15" s="23" t="s">
        <v>471</v>
      </c>
      <c r="N15" s="126" t="s">
        <v>25</v>
      </c>
      <c r="O15" s="165" t="s">
        <v>545</v>
      </c>
      <c r="P15" s="167" t="s">
        <v>36</v>
      </c>
      <c r="Q15" s="75" t="s">
        <v>90</v>
      </c>
      <c r="R15" s="168">
        <v>0</v>
      </c>
      <c r="S15" s="83" t="s">
        <v>21</v>
      </c>
      <c r="T15" s="23" t="s">
        <v>244</v>
      </c>
      <c r="U15" s="126" t="s">
        <v>651</v>
      </c>
      <c r="V15" s="165" t="s">
        <v>256</v>
      </c>
      <c r="W15" s="167" t="s">
        <v>34</v>
      </c>
    </row>
    <row r="16" spans="1:23">
      <c r="A16" s="163" t="s">
        <v>139</v>
      </c>
      <c r="B16" s="164">
        <v>3437</v>
      </c>
      <c r="C16" s="122">
        <v>3556</v>
      </c>
      <c r="D16" s="144" t="s">
        <v>885</v>
      </c>
      <c r="E16" s="122">
        <v>3557</v>
      </c>
      <c r="F16" s="23" t="s">
        <v>369</v>
      </c>
      <c r="G16" s="126">
        <v>3587</v>
      </c>
      <c r="H16" s="165" t="s">
        <v>366</v>
      </c>
      <c r="I16" s="164">
        <v>3473</v>
      </c>
      <c r="J16" s="126">
        <v>3582</v>
      </c>
      <c r="K16" s="144" t="s">
        <v>474</v>
      </c>
      <c r="L16" s="122">
        <v>3587</v>
      </c>
      <c r="M16" s="23" t="s">
        <v>244</v>
      </c>
      <c r="N16" s="126">
        <v>3525</v>
      </c>
      <c r="O16" s="166">
        <v>0</v>
      </c>
      <c r="P16" s="164">
        <v>3479</v>
      </c>
      <c r="Q16" s="126">
        <v>3557</v>
      </c>
      <c r="R16" s="144" t="s">
        <v>545</v>
      </c>
      <c r="S16" s="122">
        <v>3589</v>
      </c>
      <c r="T16" s="21">
        <v>0</v>
      </c>
      <c r="U16" s="126">
        <v>3505</v>
      </c>
      <c r="V16" s="165" t="s">
        <v>568</v>
      </c>
      <c r="W16" s="164">
        <v>3568</v>
      </c>
    </row>
    <row r="17" spans="1:30">
      <c r="A17" s="163" t="s">
        <v>140</v>
      </c>
      <c r="B17" s="167" t="s">
        <v>552</v>
      </c>
      <c r="C17" s="83" t="s">
        <v>95</v>
      </c>
      <c r="D17" s="144" t="s">
        <v>615</v>
      </c>
      <c r="E17" s="169" t="s">
        <v>970</v>
      </c>
      <c r="F17" s="170" t="s">
        <v>970</v>
      </c>
      <c r="G17" s="75" t="s">
        <v>970</v>
      </c>
      <c r="H17" s="165" t="s">
        <v>970</v>
      </c>
      <c r="I17" s="167" t="s">
        <v>3</v>
      </c>
      <c r="J17" s="75" t="s">
        <v>3</v>
      </c>
      <c r="K17" s="144" t="s">
        <v>456</v>
      </c>
      <c r="L17" s="75" t="s">
        <v>970</v>
      </c>
      <c r="M17" s="171" t="s">
        <v>970</v>
      </c>
      <c r="N17" s="75" t="s">
        <v>970</v>
      </c>
      <c r="O17" s="165" t="s">
        <v>970</v>
      </c>
      <c r="P17" s="167" t="s">
        <v>783</v>
      </c>
      <c r="Q17" s="75" t="s">
        <v>783</v>
      </c>
      <c r="R17" s="144" t="s">
        <v>292</v>
      </c>
      <c r="U17" s="75" t="s">
        <v>970</v>
      </c>
      <c r="V17" s="165" t="s">
        <v>970</v>
      </c>
      <c r="W17" s="167" t="s">
        <v>35</v>
      </c>
    </row>
    <row r="18" spans="1:30">
      <c r="A18" s="163" t="s">
        <v>141</v>
      </c>
      <c r="B18" s="167" t="s">
        <v>854</v>
      </c>
      <c r="C18" s="83" t="s">
        <v>710</v>
      </c>
      <c r="D18" s="144" t="s">
        <v>230</v>
      </c>
      <c r="E18" s="122" t="s">
        <v>970</v>
      </c>
      <c r="F18" s="170" t="s">
        <v>970</v>
      </c>
      <c r="G18" s="75" t="s">
        <v>970</v>
      </c>
      <c r="H18" s="165" t="s">
        <v>970</v>
      </c>
      <c r="I18" s="167" t="s">
        <v>31</v>
      </c>
      <c r="J18" s="75" t="s">
        <v>616</v>
      </c>
      <c r="K18" s="168">
        <v>0.01</v>
      </c>
      <c r="L18" s="75" t="s">
        <v>970</v>
      </c>
      <c r="M18" s="171" t="s">
        <v>970</v>
      </c>
      <c r="N18" s="75" t="s">
        <v>970</v>
      </c>
      <c r="O18" s="165" t="s">
        <v>970</v>
      </c>
      <c r="P18" s="167" t="s">
        <v>112</v>
      </c>
      <c r="Q18" s="75" t="s">
        <v>112</v>
      </c>
      <c r="R18" s="168" t="s">
        <v>926</v>
      </c>
      <c r="U18" s="75" t="s">
        <v>970</v>
      </c>
      <c r="V18" s="165" t="s">
        <v>970</v>
      </c>
      <c r="W18" s="167" t="s">
        <v>36</v>
      </c>
    </row>
    <row r="19" spans="1:30">
      <c r="A19" s="163" t="s">
        <v>142</v>
      </c>
      <c r="B19" s="167" t="s">
        <v>109</v>
      </c>
      <c r="C19" s="83" t="s">
        <v>4</v>
      </c>
      <c r="D19" s="144" t="s">
        <v>277</v>
      </c>
      <c r="E19" s="75" t="s">
        <v>970</v>
      </c>
      <c r="F19" s="171" t="s">
        <v>970</v>
      </c>
      <c r="G19" s="75" t="s">
        <v>970</v>
      </c>
      <c r="H19" s="135" t="s">
        <v>970</v>
      </c>
      <c r="I19" s="167" t="s">
        <v>570</v>
      </c>
      <c r="J19" s="75" t="s">
        <v>879</v>
      </c>
      <c r="K19" s="144" t="s">
        <v>458</v>
      </c>
      <c r="L19" s="75" t="s">
        <v>970</v>
      </c>
      <c r="M19" s="171" t="s">
        <v>970</v>
      </c>
      <c r="N19" s="75" t="s">
        <v>970</v>
      </c>
      <c r="O19" s="135" t="s">
        <v>970</v>
      </c>
      <c r="P19" s="167" t="s">
        <v>625</v>
      </c>
      <c r="Q19" s="75" t="s">
        <v>656</v>
      </c>
      <c r="R19" s="144" t="s">
        <v>848</v>
      </c>
      <c r="S19" s="75" t="s">
        <v>970</v>
      </c>
      <c r="T19" s="172" t="s">
        <v>970</v>
      </c>
      <c r="U19" s="75" t="s">
        <v>970</v>
      </c>
      <c r="V19" s="135" t="s">
        <v>970</v>
      </c>
      <c r="W19" s="167" t="s">
        <v>38</v>
      </c>
    </row>
    <row r="20" spans="1:30">
      <c r="A20" s="163" t="s">
        <v>971</v>
      </c>
      <c r="B20" s="124" t="s">
        <v>614</v>
      </c>
      <c r="C20" s="75" t="s">
        <v>970</v>
      </c>
      <c r="D20" s="144" t="s">
        <v>970</v>
      </c>
      <c r="E20" s="122" t="s">
        <v>49</v>
      </c>
      <c r="F20" s="23" t="s">
        <v>470</v>
      </c>
      <c r="G20" s="75" t="s">
        <v>970</v>
      </c>
      <c r="H20" s="135" t="s">
        <v>970</v>
      </c>
      <c r="I20" s="125" t="s">
        <v>17</v>
      </c>
      <c r="J20" s="75" t="s">
        <v>970</v>
      </c>
      <c r="K20" s="144" t="s">
        <v>970</v>
      </c>
      <c r="L20" s="83" t="s">
        <v>72</v>
      </c>
      <c r="M20" s="23" t="s">
        <v>705</v>
      </c>
      <c r="N20" s="75" t="s">
        <v>970</v>
      </c>
      <c r="O20" s="135" t="s">
        <v>970</v>
      </c>
      <c r="P20" s="125" t="s">
        <v>72</v>
      </c>
      <c r="Q20" s="75"/>
      <c r="R20" s="144"/>
      <c r="S20" s="122" t="s">
        <v>17</v>
      </c>
      <c r="T20" s="23" t="s">
        <v>565</v>
      </c>
      <c r="U20" s="75"/>
      <c r="V20" s="135"/>
      <c r="W20" s="164" t="s">
        <v>577</v>
      </c>
    </row>
    <row r="21" spans="1:30" s="178" customFormat="1" ht="17" thickBot="1">
      <c r="A21" s="173" t="s">
        <v>972</v>
      </c>
      <c r="B21" s="174" t="s">
        <v>96</v>
      </c>
      <c r="C21" s="80" t="s">
        <v>970</v>
      </c>
      <c r="D21" s="175" t="s">
        <v>970</v>
      </c>
      <c r="E21" s="81" t="s">
        <v>18</v>
      </c>
      <c r="F21" s="176" t="s">
        <v>401</v>
      </c>
      <c r="G21" s="80" t="s">
        <v>970</v>
      </c>
      <c r="H21" s="177" t="s">
        <v>970</v>
      </c>
      <c r="I21" s="174" t="s">
        <v>948</v>
      </c>
      <c r="J21" s="80" t="s">
        <v>970</v>
      </c>
      <c r="K21" s="175" t="s">
        <v>970</v>
      </c>
      <c r="L21" s="81" t="s">
        <v>853</v>
      </c>
      <c r="M21" s="176" t="s">
        <v>261</v>
      </c>
      <c r="N21" s="80" t="s">
        <v>970</v>
      </c>
      <c r="O21" s="177" t="s">
        <v>970</v>
      </c>
      <c r="P21" s="174" t="s">
        <v>732</v>
      </c>
      <c r="Q21" s="80" t="s">
        <v>970</v>
      </c>
      <c r="R21" s="175" t="s">
        <v>970</v>
      </c>
      <c r="S21" s="81" t="s">
        <v>23</v>
      </c>
      <c r="T21" s="176" t="s">
        <v>245</v>
      </c>
      <c r="U21" s="80" t="s">
        <v>970</v>
      </c>
      <c r="V21" s="177" t="s">
        <v>970</v>
      </c>
      <c r="W21" s="167" t="s">
        <v>10</v>
      </c>
    </row>
    <row r="22" spans="1:30" ht="18" thickTop="1" thickBot="1">
      <c r="A22" s="179" t="s">
        <v>973</v>
      </c>
      <c r="B22" s="180"/>
      <c r="C22" s="181" t="s">
        <v>974</v>
      </c>
      <c r="D22" s="182"/>
      <c r="E22" s="181" t="s">
        <v>975</v>
      </c>
      <c r="F22" s="182"/>
      <c r="G22" s="181" t="s">
        <v>976</v>
      </c>
      <c r="H22" s="183"/>
      <c r="I22" s="184"/>
      <c r="J22" s="181" t="s">
        <v>977</v>
      </c>
      <c r="K22" s="182"/>
      <c r="L22" s="181" t="s">
        <v>978</v>
      </c>
      <c r="M22" s="182"/>
      <c r="N22" s="181" t="s">
        <v>979</v>
      </c>
      <c r="O22" s="183"/>
      <c r="P22" s="184"/>
      <c r="Q22" s="181" t="s">
        <v>980</v>
      </c>
      <c r="R22" s="182"/>
      <c r="S22" s="181" t="s">
        <v>981</v>
      </c>
      <c r="T22" s="182"/>
      <c r="U22" s="181" t="s">
        <v>982</v>
      </c>
      <c r="V22" s="183"/>
      <c r="W22" s="185"/>
      <c r="X22" s="186"/>
      <c r="Y22" s="187"/>
      <c r="Z22" s="188"/>
      <c r="AA22" s="187"/>
      <c r="AB22" s="188"/>
      <c r="AC22" s="189"/>
    </row>
    <row r="23" spans="1:30" ht="17" thickBot="1">
      <c r="A23" s="190"/>
      <c r="B23" s="83"/>
      <c r="C23" s="83"/>
      <c r="D23" s="191"/>
      <c r="E23" s="83"/>
      <c r="F23" s="192"/>
      <c r="G23" s="83"/>
      <c r="H23" s="192"/>
      <c r="I23" s="83"/>
      <c r="J23" s="83"/>
      <c r="K23" s="191"/>
      <c r="L23" s="83"/>
      <c r="M23" s="192"/>
      <c r="N23" s="83"/>
      <c r="O23" s="192"/>
      <c r="P23" s="83"/>
      <c r="Q23" s="83"/>
      <c r="R23" s="191"/>
      <c r="S23" s="83"/>
      <c r="T23" s="192"/>
      <c r="U23" s="83"/>
      <c r="V23" s="192"/>
      <c r="W23" s="83"/>
      <c r="X23" s="83"/>
      <c r="Y23" s="193"/>
      <c r="Z23" s="83"/>
      <c r="AA23" s="192"/>
      <c r="AB23" s="83"/>
      <c r="AC23" s="192"/>
      <c r="AD23" s="83"/>
    </row>
    <row r="24" spans="1:30">
      <c r="A24" s="90" t="s">
        <v>71</v>
      </c>
      <c r="B24" s="100" t="s">
        <v>211</v>
      </c>
      <c r="C24" s="147"/>
      <c r="D24" s="147"/>
      <c r="E24" s="147"/>
      <c r="F24" s="147"/>
      <c r="G24" s="147"/>
      <c r="H24" s="148"/>
      <c r="I24" s="100" t="s">
        <v>216</v>
      </c>
      <c r="J24" s="147"/>
      <c r="K24" s="147"/>
      <c r="L24" s="147"/>
      <c r="M24" s="147"/>
      <c r="N24" s="147"/>
      <c r="O24" s="148"/>
      <c r="P24" s="100" t="s">
        <v>217</v>
      </c>
      <c r="Q24" s="147"/>
      <c r="R24" s="147"/>
      <c r="S24" s="147"/>
      <c r="T24" s="147"/>
      <c r="U24" s="147"/>
      <c r="V24" s="148"/>
      <c r="W24" s="194" t="s">
        <v>143</v>
      </c>
    </row>
    <row r="25" spans="1:30">
      <c r="A25" s="93"/>
      <c r="B25" s="104"/>
      <c r="C25" s="96"/>
      <c r="D25" s="96"/>
      <c r="E25" s="96"/>
      <c r="F25" s="96"/>
      <c r="G25" s="96"/>
      <c r="H25" s="151"/>
      <c r="I25" s="104"/>
      <c r="J25" s="96"/>
      <c r="K25" s="96"/>
      <c r="L25" s="96"/>
      <c r="M25" s="96"/>
      <c r="N25" s="96"/>
      <c r="O25" s="151"/>
      <c r="P25" s="104"/>
      <c r="Q25" s="96"/>
      <c r="R25" s="96"/>
      <c r="S25" s="96"/>
      <c r="T25" s="96"/>
      <c r="U25" s="96"/>
      <c r="V25" s="151"/>
      <c r="W25" s="195"/>
    </row>
    <row r="26" spans="1:30">
      <c r="A26" s="88"/>
      <c r="B26" s="154" t="s">
        <v>215</v>
      </c>
      <c r="C26" s="89"/>
      <c r="D26" s="89"/>
      <c r="E26" s="89"/>
      <c r="F26" s="89"/>
      <c r="G26" s="89"/>
      <c r="H26" s="155"/>
      <c r="I26" s="154" t="s">
        <v>220</v>
      </c>
      <c r="J26" s="89"/>
      <c r="K26" s="89"/>
      <c r="L26" s="89"/>
      <c r="M26" s="89"/>
      <c r="N26" s="89"/>
      <c r="O26" s="155"/>
      <c r="P26" s="154" t="s">
        <v>221</v>
      </c>
      <c r="Q26" s="89"/>
      <c r="R26" s="89"/>
      <c r="S26" s="89"/>
      <c r="T26" s="89"/>
      <c r="U26" s="89"/>
      <c r="V26" s="155"/>
      <c r="W26" s="195"/>
    </row>
    <row r="27" spans="1:30">
      <c r="A27" s="160" t="s">
        <v>128</v>
      </c>
      <c r="B27" s="157" t="s">
        <v>0</v>
      </c>
      <c r="C27" s="160" t="s">
        <v>506</v>
      </c>
      <c r="D27" s="159" t="s">
        <v>949</v>
      </c>
      <c r="E27" s="160" t="s">
        <v>508</v>
      </c>
      <c r="F27" s="159" t="s">
        <v>950</v>
      </c>
      <c r="G27" s="160" t="s">
        <v>509</v>
      </c>
      <c r="H27" s="161" t="s">
        <v>951</v>
      </c>
      <c r="I27" s="157" t="s">
        <v>0</v>
      </c>
      <c r="J27" s="160" t="s">
        <v>506</v>
      </c>
      <c r="K27" s="159" t="s">
        <v>949</v>
      </c>
      <c r="L27" s="160" t="s">
        <v>508</v>
      </c>
      <c r="M27" s="159" t="s">
        <v>950</v>
      </c>
      <c r="N27" s="160" t="s">
        <v>509</v>
      </c>
      <c r="O27" s="161" t="s">
        <v>951</v>
      </c>
      <c r="P27" s="157" t="s">
        <v>0</v>
      </c>
      <c r="Q27" s="160" t="s">
        <v>506</v>
      </c>
      <c r="R27" s="159" t="s">
        <v>949</v>
      </c>
      <c r="S27" s="160" t="s">
        <v>508</v>
      </c>
      <c r="T27" s="159" t="s">
        <v>950</v>
      </c>
      <c r="U27" s="160" t="s">
        <v>509</v>
      </c>
      <c r="V27" s="161" t="s">
        <v>951</v>
      </c>
      <c r="W27" s="196"/>
    </row>
    <row r="28" spans="1:30">
      <c r="A28" s="197" t="s">
        <v>130</v>
      </c>
      <c r="B28" s="164">
        <v>9164</v>
      </c>
      <c r="C28" s="126">
        <v>9098</v>
      </c>
      <c r="D28" s="144" t="s">
        <v>425</v>
      </c>
      <c r="E28" s="122" t="s">
        <v>983</v>
      </c>
      <c r="F28" s="23" t="s">
        <v>373</v>
      </c>
      <c r="G28" s="126">
        <v>9096</v>
      </c>
      <c r="H28" s="165">
        <v>0.18</v>
      </c>
      <c r="I28" s="164">
        <v>9229</v>
      </c>
      <c r="J28" s="126">
        <v>9198</v>
      </c>
      <c r="K28" s="144" t="s">
        <v>662</v>
      </c>
      <c r="L28" s="122">
        <v>9043</v>
      </c>
      <c r="M28" s="23" t="s">
        <v>259</v>
      </c>
      <c r="N28" s="126" t="s">
        <v>984</v>
      </c>
      <c r="O28" s="165" t="s">
        <v>261</v>
      </c>
      <c r="P28" s="164" t="s">
        <v>542</v>
      </c>
      <c r="Q28" s="126">
        <v>8601</v>
      </c>
      <c r="R28" s="168">
        <v>0</v>
      </c>
      <c r="S28" s="122">
        <v>9062</v>
      </c>
      <c r="T28" s="23" t="s">
        <v>802</v>
      </c>
      <c r="U28" s="126">
        <v>8584</v>
      </c>
      <c r="V28" s="166">
        <v>0</v>
      </c>
      <c r="W28" s="145">
        <v>8209</v>
      </c>
    </row>
    <row r="29" spans="1:30">
      <c r="A29" s="197" t="s">
        <v>497</v>
      </c>
      <c r="B29" s="164">
        <v>-4321</v>
      </c>
      <c r="C29" s="126" t="s">
        <v>900</v>
      </c>
      <c r="D29" s="144" t="s">
        <v>238</v>
      </c>
      <c r="E29" s="122">
        <v>-4289</v>
      </c>
      <c r="F29" s="23" t="s">
        <v>302</v>
      </c>
      <c r="G29" s="126">
        <v>-4251</v>
      </c>
      <c r="H29" s="166">
        <v>0.04</v>
      </c>
      <c r="I29" s="164">
        <v>-4221</v>
      </c>
      <c r="J29" s="126">
        <v>-4214</v>
      </c>
      <c r="K29" s="144" t="s">
        <v>407</v>
      </c>
      <c r="L29" s="83" t="s">
        <v>985</v>
      </c>
      <c r="M29" s="21">
        <v>0.05</v>
      </c>
      <c r="N29" s="198" t="s">
        <v>986</v>
      </c>
      <c r="O29" s="165" t="s">
        <v>301</v>
      </c>
      <c r="P29" s="164">
        <v>-4223</v>
      </c>
      <c r="Q29" s="126" t="s">
        <v>928</v>
      </c>
      <c r="R29" s="168">
        <v>0</v>
      </c>
      <c r="S29" s="122">
        <v>-4207</v>
      </c>
      <c r="T29" s="23" t="s">
        <v>680</v>
      </c>
      <c r="U29" s="126">
        <v>-4596</v>
      </c>
      <c r="V29" s="166">
        <v>0</v>
      </c>
      <c r="W29" s="76" t="s">
        <v>550</v>
      </c>
    </row>
    <row r="30" spans="1:30">
      <c r="A30" s="197" t="s">
        <v>551</v>
      </c>
      <c r="B30" s="167" t="s">
        <v>620</v>
      </c>
      <c r="C30" s="75" t="s">
        <v>39</v>
      </c>
      <c r="D30" s="144" t="s">
        <v>272</v>
      </c>
      <c r="E30" s="122" t="s">
        <v>651</v>
      </c>
      <c r="F30" s="23" t="s">
        <v>407</v>
      </c>
      <c r="G30" s="75" t="s">
        <v>34</v>
      </c>
      <c r="H30" s="165" t="s">
        <v>987</v>
      </c>
      <c r="I30" s="167" t="s">
        <v>557</v>
      </c>
      <c r="J30" s="75" t="s">
        <v>104</v>
      </c>
      <c r="K30" s="144" t="s">
        <v>896</v>
      </c>
      <c r="L30" s="83" t="s">
        <v>582</v>
      </c>
      <c r="M30" s="23" t="s">
        <v>988</v>
      </c>
      <c r="N30" s="75" t="s">
        <v>784</v>
      </c>
      <c r="O30" s="165" t="s">
        <v>859</v>
      </c>
      <c r="P30" s="167" t="s">
        <v>12</v>
      </c>
      <c r="Q30" s="75" t="s">
        <v>100</v>
      </c>
      <c r="R30" s="144" t="s">
        <v>360</v>
      </c>
      <c r="S30" s="83" t="s">
        <v>103</v>
      </c>
      <c r="T30" s="23" t="s">
        <v>236</v>
      </c>
      <c r="U30" s="75" t="s">
        <v>21</v>
      </c>
      <c r="V30" s="165" t="s">
        <v>682</v>
      </c>
      <c r="W30" s="76" t="s">
        <v>11</v>
      </c>
    </row>
    <row r="31" spans="1:30">
      <c r="A31" s="197" t="s">
        <v>132</v>
      </c>
      <c r="B31" s="167" t="s">
        <v>905</v>
      </c>
      <c r="C31" s="75" t="s">
        <v>906</v>
      </c>
      <c r="D31" s="168" t="s">
        <v>802</v>
      </c>
      <c r="E31" s="83" t="s">
        <v>845</v>
      </c>
      <c r="F31" s="23" t="s">
        <v>273</v>
      </c>
      <c r="G31" s="75" t="s">
        <v>989</v>
      </c>
      <c r="H31" s="165" t="s">
        <v>705</v>
      </c>
      <c r="I31" s="167" t="s">
        <v>829</v>
      </c>
      <c r="J31" s="75" t="s">
        <v>830</v>
      </c>
      <c r="K31" s="168">
        <v>0</v>
      </c>
      <c r="L31" s="83" t="s">
        <v>990</v>
      </c>
      <c r="M31" s="23" t="s">
        <v>244</v>
      </c>
      <c r="N31" s="75" t="s">
        <v>991</v>
      </c>
      <c r="O31" s="165" t="s">
        <v>591</v>
      </c>
      <c r="P31" s="167" t="s">
        <v>120</v>
      </c>
      <c r="Q31" s="75" t="s">
        <v>813</v>
      </c>
      <c r="R31" s="144" t="s">
        <v>236</v>
      </c>
      <c r="S31" s="83" t="s">
        <v>807</v>
      </c>
      <c r="T31" s="23" t="s">
        <v>565</v>
      </c>
      <c r="U31" s="75" t="s">
        <v>107</v>
      </c>
      <c r="V31" s="166">
        <v>0</v>
      </c>
      <c r="W31" s="76" t="s">
        <v>29</v>
      </c>
    </row>
    <row r="32" spans="1:30">
      <c r="A32" s="197" t="s">
        <v>133</v>
      </c>
      <c r="B32" s="167" t="s">
        <v>911</v>
      </c>
      <c r="C32" s="75" t="s">
        <v>759</v>
      </c>
      <c r="D32" s="144" t="s">
        <v>244</v>
      </c>
      <c r="E32" s="83" t="s">
        <v>15</v>
      </c>
      <c r="F32" s="23" t="s">
        <v>273</v>
      </c>
      <c r="G32" s="75" t="s">
        <v>992</v>
      </c>
      <c r="H32" s="165" t="s">
        <v>705</v>
      </c>
      <c r="I32" s="167" t="s">
        <v>931</v>
      </c>
      <c r="J32" s="75" t="s">
        <v>931</v>
      </c>
      <c r="K32" s="144" t="s">
        <v>761</v>
      </c>
      <c r="L32" s="83" t="s">
        <v>872</v>
      </c>
      <c r="M32" s="23" t="s">
        <v>244</v>
      </c>
      <c r="N32" s="75" t="s">
        <v>872</v>
      </c>
      <c r="O32" s="165" t="s">
        <v>240</v>
      </c>
      <c r="P32" s="167" t="s">
        <v>630</v>
      </c>
      <c r="Q32" s="75" t="s">
        <v>930</v>
      </c>
      <c r="R32" s="144" t="s">
        <v>575</v>
      </c>
      <c r="S32" s="83" t="s">
        <v>645</v>
      </c>
      <c r="T32" s="23" t="s">
        <v>385</v>
      </c>
      <c r="U32" s="75" t="s">
        <v>993</v>
      </c>
      <c r="V32" s="165" t="s">
        <v>768</v>
      </c>
      <c r="W32" s="76" t="s">
        <v>30</v>
      </c>
    </row>
    <row r="33" spans="1:29">
      <c r="A33" s="197" t="s">
        <v>134</v>
      </c>
      <c r="B33" s="167" t="s">
        <v>22</v>
      </c>
      <c r="C33" s="75" t="s">
        <v>22</v>
      </c>
      <c r="D33" s="144" t="s">
        <v>642</v>
      </c>
      <c r="E33" s="83" t="s">
        <v>608</v>
      </c>
      <c r="F33" s="21">
        <v>0.03</v>
      </c>
      <c r="G33" s="75" t="s">
        <v>78</v>
      </c>
      <c r="H33" s="166">
        <v>0.12</v>
      </c>
      <c r="I33" s="167" t="s">
        <v>79</v>
      </c>
      <c r="J33" s="75" t="s">
        <v>651</v>
      </c>
      <c r="K33" s="144" t="s">
        <v>261</v>
      </c>
      <c r="L33" s="83" t="s">
        <v>47</v>
      </c>
      <c r="M33" s="23" t="s">
        <v>288</v>
      </c>
      <c r="N33" s="75" t="s">
        <v>47</v>
      </c>
      <c r="O33" s="166">
        <v>0.15</v>
      </c>
      <c r="P33" s="167" t="s">
        <v>31</v>
      </c>
      <c r="Q33" s="75" t="s">
        <v>31</v>
      </c>
      <c r="R33" s="144" t="s">
        <v>286</v>
      </c>
      <c r="S33" s="83" t="s">
        <v>17</v>
      </c>
      <c r="T33" s="23" t="s">
        <v>284</v>
      </c>
      <c r="U33" s="75" t="s">
        <v>31</v>
      </c>
      <c r="V33" s="165" t="s">
        <v>658</v>
      </c>
      <c r="W33" s="76" t="s">
        <v>31</v>
      </c>
    </row>
    <row r="34" spans="1:29">
      <c r="A34" s="197" t="s">
        <v>135</v>
      </c>
      <c r="B34" s="167" t="s">
        <v>913</v>
      </c>
      <c r="C34" s="75" t="s">
        <v>913</v>
      </c>
      <c r="D34" s="168">
        <v>7.0000000000000007E-2</v>
      </c>
      <c r="E34" s="83" t="s">
        <v>574</v>
      </c>
      <c r="F34" s="23" t="s">
        <v>261</v>
      </c>
      <c r="G34" s="126" t="s">
        <v>994</v>
      </c>
      <c r="H34" s="165" t="s">
        <v>256</v>
      </c>
      <c r="I34" s="167" t="s">
        <v>556</v>
      </c>
      <c r="J34" s="75" t="s">
        <v>590</v>
      </c>
      <c r="K34" s="144" t="s">
        <v>624</v>
      </c>
      <c r="L34" s="83" t="s">
        <v>590</v>
      </c>
      <c r="M34" s="23" t="s">
        <v>472</v>
      </c>
      <c r="N34" s="75" t="s">
        <v>556</v>
      </c>
      <c r="O34" s="165" t="s">
        <v>389</v>
      </c>
      <c r="P34" s="167" t="s">
        <v>590</v>
      </c>
      <c r="Q34" s="75" t="s">
        <v>791</v>
      </c>
      <c r="R34" s="144" t="s">
        <v>676</v>
      </c>
      <c r="S34" s="83" t="s">
        <v>709</v>
      </c>
      <c r="T34" s="21">
        <v>0.08</v>
      </c>
      <c r="U34" s="75" t="s">
        <v>791</v>
      </c>
      <c r="V34" s="165" t="s">
        <v>735</v>
      </c>
      <c r="W34" s="76" t="s">
        <v>32</v>
      </c>
    </row>
    <row r="35" spans="1:29">
      <c r="A35" s="197" t="s">
        <v>136</v>
      </c>
      <c r="B35" s="167" t="s">
        <v>914</v>
      </c>
      <c r="C35" s="126" t="s">
        <v>914</v>
      </c>
      <c r="D35" s="144" t="s">
        <v>245</v>
      </c>
      <c r="E35" s="122">
        <v>1289</v>
      </c>
      <c r="F35" s="21">
        <v>0.09</v>
      </c>
      <c r="G35" s="126" t="s">
        <v>518</v>
      </c>
      <c r="H35" s="165" t="s">
        <v>414</v>
      </c>
      <c r="I35" s="167">
        <v>1296</v>
      </c>
      <c r="J35" s="75">
        <v>1307</v>
      </c>
      <c r="K35" s="144" t="s">
        <v>421</v>
      </c>
      <c r="L35" s="122">
        <v>1453</v>
      </c>
      <c r="M35" s="21">
        <v>0</v>
      </c>
      <c r="N35" s="126">
        <v>1477</v>
      </c>
      <c r="O35" s="165" t="s">
        <v>236</v>
      </c>
      <c r="P35" s="167">
        <v>1296</v>
      </c>
      <c r="Q35" s="75">
        <v>1292</v>
      </c>
      <c r="R35" s="144" t="s">
        <v>549</v>
      </c>
      <c r="S35" s="122">
        <v>1312</v>
      </c>
      <c r="T35" s="23" t="s">
        <v>425</v>
      </c>
      <c r="U35" s="126">
        <v>1294</v>
      </c>
      <c r="V35" s="165" t="s">
        <v>947</v>
      </c>
      <c r="W35" s="145">
        <v>1044</v>
      </c>
    </row>
    <row r="36" spans="1:29">
      <c r="A36" s="197" t="s">
        <v>498</v>
      </c>
      <c r="B36" s="164" t="s">
        <v>919</v>
      </c>
      <c r="C36" s="126">
        <v>12297</v>
      </c>
      <c r="D36" s="168" t="s">
        <v>418</v>
      </c>
      <c r="E36" s="122">
        <v>12327</v>
      </c>
      <c r="F36" s="23" t="s">
        <v>658</v>
      </c>
      <c r="G36" s="126" t="s">
        <v>995</v>
      </c>
      <c r="H36" s="165" t="s">
        <v>279</v>
      </c>
      <c r="I36" s="164" t="s">
        <v>934</v>
      </c>
      <c r="J36" s="75" t="s">
        <v>935</v>
      </c>
      <c r="K36" s="144" t="s">
        <v>702</v>
      </c>
      <c r="L36" s="122">
        <v>12186</v>
      </c>
      <c r="M36" s="23" t="s">
        <v>472</v>
      </c>
      <c r="N36" s="126">
        <v>12173</v>
      </c>
      <c r="O36" s="165" t="s">
        <v>264</v>
      </c>
      <c r="P36" s="164">
        <v>12247</v>
      </c>
      <c r="Q36" s="126">
        <v>12208</v>
      </c>
      <c r="R36" s="144" t="s">
        <v>273</v>
      </c>
      <c r="S36" s="122">
        <v>12277</v>
      </c>
      <c r="T36" s="23" t="s">
        <v>940</v>
      </c>
      <c r="U36" s="126" t="s">
        <v>996</v>
      </c>
      <c r="V36" s="165" t="s">
        <v>256</v>
      </c>
      <c r="W36" s="145">
        <v>11827</v>
      </c>
    </row>
    <row r="37" spans="1:29">
      <c r="A37" s="197" t="s">
        <v>137</v>
      </c>
      <c r="B37" s="167" t="s">
        <v>33</v>
      </c>
      <c r="C37" s="75" t="s">
        <v>33</v>
      </c>
      <c r="D37" s="144" t="s">
        <v>480</v>
      </c>
      <c r="E37" s="122" t="s">
        <v>997</v>
      </c>
      <c r="F37" s="23" t="s">
        <v>468</v>
      </c>
      <c r="G37" s="75" t="s">
        <v>998</v>
      </c>
      <c r="H37" s="165" t="s">
        <v>459</v>
      </c>
      <c r="I37" s="167" t="s">
        <v>938</v>
      </c>
      <c r="J37" s="75" t="s">
        <v>939</v>
      </c>
      <c r="K37" s="144" t="s">
        <v>940</v>
      </c>
      <c r="L37" s="83" t="s">
        <v>999</v>
      </c>
      <c r="M37" s="23" t="s">
        <v>275</v>
      </c>
      <c r="N37" s="75" t="s">
        <v>1000</v>
      </c>
      <c r="O37" s="165" t="s">
        <v>1001</v>
      </c>
      <c r="P37" s="167" t="s">
        <v>941</v>
      </c>
      <c r="Q37" s="75" t="s">
        <v>942</v>
      </c>
      <c r="R37" s="144" t="s">
        <v>435</v>
      </c>
      <c r="S37" s="83" t="s">
        <v>921</v>
      </c>
      <c r="T37" s="23" t="s">
        <v>635</v>
      </c>
      <c r="U37" s="75" t="s">
        <v>945</v>
      </c>
      <c r="V37" s="165" t="s">
        <v>246</v>
      </c>
      <c r="W37" s="76" t="s">
        <v>33</v>
      </c>
    </row>
    <row r="38" spans="1:29">
      <c r="A38" s="197" t="s">
        <v>138</v>
      </c>
      <c r="B38" s="167" t="s">
        <v>850</v>
      </c>
      <c r="C38" s="75" t="s">
        <v>22</v>
      </c>
      <c r="D38" s="144" t="s">
        <v>244</v>
      </c>
      <c r="E38" s="83" t="s">
        <v>781</v>
      </c>
      <c r="F38" s="21">
        <v>0.02</v>
      </c>
      <c r="G38" s="126" t="s">
        <v>36</v>
      </c>
      <c r="H38" s="165" t="s">
        <v>423</v>
      </c>
      <c r="I38" s="167" t="s">
        <v>82</v>
      </c>
      <c r="J38" s="75" t="s">
        <v>652</v>
      </c>
      <c r="K38" s="144" t="s">
        <v>236</v>
      </c>
      <c r="L38" s="83" t="s">
        <v>31</v>
      </c>
      <c r="M38" s="23" t="s">
        <v>387</v>
      </c>
      <c r="N38" s="126" t="s">
        <v>17</v>
      </c>
      <c r="O38" s="165" t="s">
        <v>575</v>
      </c>
      <c r="P38" s="167" t="s">
        <v>106</v>
      </c>
      <c r="Q38" s="75" t="s">
        <v>710</v>
      </c>
      <c r="R38" s="144" t="s">
        <v>367</v>
      </c>
      <c r="S38" s="83" t="s">
        <v>784</v>
      </c>
      <c r="T38" s="23" t="s">
        <v>705</v>
      </c>
      <c r="U38" s="126" t="s">
        <v>2</v>
      </c>
      <c r="V38" s="165" t="s">
        <v>414</v>
      </c>
      <c r="W38" s="76" t="s">
        <v>34</v>
      </c>
    </row>
    <row r="39" spans="1:29">
      <c r="A39" s="197" t="s">
        <v>139</v>
      </c>
      <c r="B39" s="164">
        <v>3505</v>
      </c>
      <c r="C39" s="126">
        <v>3508</v>
      </c>
      <c r="D39" s="144" t="s">
        <v>473</v>
      </c>
      <c r="E39" s="122">
        <v>3583</v>
      </c>
      <c r="F39" s="23" t="s">
        <v>236</v>
      </c>
      <c r="G39" s="126">
        <v>3659</v>
      </c>
      <c r="H39" s="166">
        <v>0</v>
      </c>
      <c r="I39" s="164">
        <v>3471</v>
      </c>
      <c r="J39" s="126">
        <v>3476</v>
      </c>
      <c r="K39" s="144" t="s">
        <v>430</v>
      </c>
      <c r="L39" s="122">
        <v>3499</v>
      </c>
      <c r="M39" s="23" t="s">
        <v>692</v>
      </c>
      <c r="N39" s="126">
        <v>3526</v>
      </c>
      <c r="O39" s="165" t="s">
        <v>236</v>
      </c>
      <c r="P39" s="164">
        <v>3533</v>
      </c>
      <c r="Q39" s="126">
        <v>3613</v>
      </c>
      <c r="R39" s="144" t="s">
        <v>545</v>
      </c>
      <c r="S39" s="122">
        <v>3669</v>
      </c>
      <c r="T39" s="23" t="s">
        <v>244</v>
      </c>
      <c r="U39" s="126">
        <v>3647</v>
      </c>
      <c r="V39" s="166">
        <v>0</v>
      </c>
      <c r="W39" s="145">
        <v>3568</v>
      </c>
    </row>
    <row r="40" spans="1:29">
      <c r="A40" s="197" t="s">
        <v>140</v>
      </c>
      <c r="B40" s="167" t="s">
        <v>95</v>
      </c>
      <c r="C40" s="75" t="s">
        <v>95</v>
      </c>
      <c r="D40" s="144" t="s">
        <v>297</v>
      </c>
      <c r="G40" s="75" t="s">
        <v>970</v>
      </c>
      <c r="H40" s="165" t="s">
        <v>970</v>
      </c>
      <c r="I40" s="167" t="s">
        <v>897</v>
      </c>
      <c r="J40" s="75" t="s">
        <v>897</v>
      </c>
      <c r="K40" s="168">
        <v>7.0000000000000007E-2</v>
      </c>
      <c r="L40" s="169" t="s">
        <v>970</v>
      </c>
      <c r="M40" s="199" t="s">
        <v>970</v>
      </c>
      <c r="N40" s="75" t="s">
        <v>970</v>
      </c>
      <c r="O40" s="165" t="s">
        <v>970</v>
      </c>
      <c r="P40" s="167" t="s">
        <v>86</v>
      </c>
      <c r="Q40" s="75" t="s">
        <v>20</v>
      </c>
      <c r="R40" s="168">
        <v>0.11</v>
      </c>
      <c r="S40" s="83" t="s">
        <v>970</v>
      </c>
      <c r="T40" s="199" t="s">
        <v>970</v>
      </c>
      <c r="U40" s="75" t="s">
        <v>970</v>
      </c>
      <c r="V40" s="165" t="s">
        <v>970</v>
      </c>
      <c r="W40" s="76" t="s">
        <v>35</v>
      </c>
    </row>
    <row r="41" spans="1:29">
      <c r="A41" s="197" t="s">
        <v>141</v>
      </c>
      <c r="B41" s="167" t="s">
        <v>607</v>
      </c>
      <c r="C41" s="75" t="s">
        <v>607</v>
      </c>
      <c r="D41" s="144" t="s">
        <v>575</v>
      </c>
      <c r="G41" s="75" t="s">
        <v>970</v>
      </c>
      <c r="H41" s="165" t="s">
        <v>970</v>
      </c>
      <c r="I41" s="167" t="s">
        <v>102</v>
      </c>
      <c r="J41" s="75" t="s">
        <v>93</v>
      </c>
      <c r="K41" s="144" t="s">
        <v>296</v>
      </c>
      <c r="L41" s="169" t="s">
        <v>970</v>
      </c>
      <c r="M41" s="199" t="s">
        <v>970</v>
      </c>
      <c r="N41" s="75" t="s">
        <v>970</v>
      </c>
      <c r="O41" s="165" t="s">
        <v>970</v>
      </c>
      <c r="P41" s="167" t="s">
        <v>681</v>
      </c>
      <c r="Q41" s="75" t="s">
        <v>897</v>
      </c>
      <c r="R41" s="144" t="s">
        <v>369</v>
      </c>
      <c r="S41" s="83" t="s">
        <v>970</v>
      </c>
      <c r="T41" s="199" t="s">
        <v>970</v>
      </c>
      <c r="U41" s="75" t="s">
        <v>970</v>
      </c>
      <c r="V41" s="165" t="s">
        <v>970</v>
      </c>
      <c r="W41" s="76" t="s">
        <v>36</v>
      </c>
    </row>
    <row r="42" spans="1:29">
      <c r="A42" s="197" t="s">
        <v>142</v>
      </c>
      <c r="B42" s="167" t="s">
        <v>18</v>
      </c>
      <c r="C42" s="75" t="s">
        <v>18</v>
      </c>
      <c r="D42" s="168" t="s">
        <v>360</v>
      </c>
      <c r="E42" s="75" t="s">
        <v>970</v>
      </c>
      <c r="F42" s="172" t="s">
        <v>970</v>
      </c>
      <c r="G42" s="75" t="s">
        <v>970</v>
      </c>
      <c r="H42" s="135" t="s">
        <v>970</v>
      </c>
      <c r="I42" s="167" t="s">
        <v>104</v>
      </c>
      <c r="J42" s="75" t="s">
        <v>582</v>
      </c>
      <c r="K42" s="144" t="s">
        <v>761</v>
      </c>
      <c r="L42" s="75" t="s">
        <v>970</v>
      </c>
      <c r="M42" s="172" t="s">
        <v>970</v>
      </c>
      <c r="N42" s="75" t="s">
        <v>970</v>
      </c>
      <c r="O42" s="135" t="s">
        <v>970</v>
      </c>
      <c r="P42" s="167" t="s">
        <v>579</v>
      </c>
      <c r="Q42" s="75" t="s">
        <v>608</v>
      </c>
      <c r="R42" s="144" t="s">
        <v>705</v>
      </c>
      <c r="S42" s="75" t="s">
        <v>970</v>
      </c>
      <c r="T42" s="172" t="s">
        <v>970</v>
      </c>
      <c r="U42" s="75" t="s">
        <v>970</v>
      </c>
      <c r="V42" s="135" t="s">
        <v>970</v>
      </c>
      <c r="W42" s="76" t="s">
        <v>38</v>
      </c>
    </row>
    <row r="43" spans="1:29">
      <c r="A43" s="197" t="s">
        <v>971</v>
      </c>
      <c r="B43" s="125" t="s">
        <v>98</v>
      </c>
      <c r="C43" s="75"/>
      <c r="D43" s="168"/>
      <c r="E43" s="83" t="s">
        <v>101</v>
      </c>
      <c r="F43" s="23" t="s">
        <v>270</v>
      </c>
      <c r="G43" s="75"/>
      <c r="H43" s="135"/>
      <c r="I43" s="167" t="s">
        <v>621</v>
      </c>
      <c r="J43" s="83" t="s">
        <v>970</v>
      </c>
      <c r="K43" s="144" t="s">
        <v>970</v>
      </c>
      <c r="L43" s="83" t="s">
        <v>618</v>
      </c>
      <c r="M43" s="23" t="s">
        <v>236</v>
      </c>
      <c r="N43" s="75" t="s">
        <v>970</v>
      </c>
      <c r="O43" s="135" t="s">
        <v>970</v>
      </c>
      <c r="P43" s="124" t="s">
        <v>39</v>
      </c>
      <c r="Q43" s="75" t="s">
        <v>970</v>
      </c>
      <c r="R43" s="144" t="s">
        <v>970</v>
      </c>
      <c r="S43" s="83" t="s">
        <v>101</v>
      </c>
      <c r="T43" s="21">
        <v>0</v>
      </c>
      <c r="U43" s="75" t="s">
        <v>970</v>
      </c>
      <c r="V43" s="135" t="s">
        <v>970</v>
      </c>
      <c r="W43" s="164" t="s">
        <v>577</v>
      </c>
    </row>
    <row r="44" spans="1:29" s="178" customFormat="1" ht="17" thickBot="1">
      <c r="A44" s="200" t="s">
        <v>972</v>
      </c>
      <c r="B44" s="174" t="s">
        <v>10</v>
      </c>
      <c r="C44" s="80" t="s">
        <v>970</v>
      </c>
      <c r="D44" s="201" t="s">
        <v>970</v>
      </c>
      <c r="E44" s="81" t="s">
        <v>10</v>
      </c>
      <c r="F44" s="176" t="s">
        <v>676</v>
      </c>
      <c r="G44" s="80" t="s">
        <v>970</v>
      </c>
      <c r="H44" s="177" t="s">
        <v>970</v>
      </c>
      <c r="I44" s="202" t="s">
        <v>12</v>
      </c>
      <c r="J44" s="81" t="s">
        <v>970</v>
      </c>
      <c r="K44" s="175" t="s">
        <v>970</v>
      </c>
      <c r="L44" s="81" t="s">
        <v>12</v>
      </c>
      <c r="M44" s="176" t="s">
        <v>287</v>
      </c>
      <c r="N44" s="80" t="s">
        <v>970</v>
      </c>
      <c r="O44" s="177" t="s">
        <v>970</v>
      </c>
      <c r="P44" s="174" t="s">
        <v>607</v>
      </c>
      <c r="Q44" s="80" t="s">
        <v>970</v>
      </c>
      <c r="R44" s="175" t="s">
        <v>970</v>
      </c>
      <c r="S44" s="81" t="s">
        <v>42</v>
      </c>
      <c r="T44" s="176" t="s">
        <v>910</v>
      </c>
      <c r="U44" s="80" t="s">
        <v>970</v>
      </c>
      <c r="V44" s="177" t="s">
        <v>970</v>
      </c>
      <c r="W44" s="167" t="s">
        <v>10</v>
      </c>
    </row>
    <row r="45" spans="1:29" ht="18" thickTop="1" thickBot="1">
      <c r="A45" s="203" t="s">
        <v>973</v>
      </c>
      <c r="B45" s="184"/>
      <c r="C45" s="181" t="s">
        <v>1002</v>
      </c>
      <c r="D45" s="182"/>
      <c r="E45" s="181" t="s">
        <v>1003</v>
      </c>
      <c r="F45" s="182"/>
      <c r="G45" s="181" t="s">
        <v>1004</v>
      </c>
      <c r="H45" s="183"/>
      <c r="I45" s="180"/>
      <c r="J45" s="188">
        <f>SQRT(0.0006431699289)</f>
        <v>2.5360795115689887E-2</v>
      </c>
      <c r="K45" s="187"/>
      <c r="L45" s="188">
        <f>SQRT(0.00073890633)</f>
        <v>2.7182831530214065E-2</v>
      </c>
      <c r="M45" s="187"/>
      <c r="N45" s="188">
        <f>SQRT(0.000809130817167)</f>
        <v>2.8445224857030046E-2</v>
      </c>
      <c r="O45" s="189"/>
      <c r="P45" s="184"/>
      <c r="Q45" s="188">
        <f>SQRT(0.00219013244)</f>
        <v>4.6798850840592231E-2</v>
      </c>
      <c r="R45" s="187"/>
      <c r="S45" s="188">
        <f>SQRT(0.00193658152)</f>
        <v>4.400660768566466E-2</v>
      </c>
      <c r="T45" s="187"/>
      <c r="U45" s="188">
        <f>SQRT(0.0023687835123)</f>
        <v>4.8670150115856431E-2</v>
      </c>
      <c r="V45" s="189"/>
      <c r="W45" s="185"/>
      <c r="X45" s="188"/>
      <c r="Y45" s="187"/>
      <c r="Z45" s="188"/>
      <c r="AA45" s="187"/>
      <c r="AB45" s="188"/>
      <c r="AC45" s="189"/>
    </row>
    <row r="46" spans="1:29" s="83" customFormat="1" thickBot="1"/>
    <row r="47" spans="1:29" s="83" customFormat="1" ht="15">
      <c r="A47" s="90" t="s">
        <v>71</v>
      </c>
      <c r="B47" s="100" t="s">
        <v>218</v>
      </c>
      <c r="C47" s="147"/>
      <c r="D47" s="147"/>
      <c r="E47" s="147"/>
      <c r="F47" s="147"/>
      <c r="G47" s="147"/>
      <c r="H47" s="148"/>
      <c r="I47" s="100" t="s">
        <v>219</v>
      </c>
      <c r="J47" s="147"/>
      <c r="K47" s="147"/>
      <c r="L47" s="147"/>
      <c r="M47" s="147"/>
      <c r="N47" s="147"/>
      <c r="O47" s="148"/>
      <c r="P47" s="194" t="s">
        <v>143</v>
      </c>
    </row>
    <row r="48" spans="1:29" s="83" customFormat="1" ht="15">
      <c r="A48" s="93"/>
      <c r="B48" s="104"/>
      <c r="C48" s="96"/>
      <c r="D48" s="96"/>
      <c r="E48" s="96"/>
      <c r="F48" s="96"/>
      <c r="G48" s="96"/>
      <c r="H48" s="151"/>
      <c r="I48" s="104"/>
      <c r="J48" s="96"/>
      <c r="K48" s="96"/>
      <c r="L48" s="96"/>
      <c r="M48" s="96"/>
      <c r="N48" s="96"/>
      <c r="O48" s="151"/>
      <c r="P48" s="195"/>
    </row>
    <row r="49" spans="1:16" s="83" customFormat="1" ht="15">
      <c r="A49" s="88"/>
      <c r="B49" s="154" t="s">
        <v>221</v>
      </c>
      <c r="C49" s="89"/>
      <c r="D49" s="89"/>
      <c r="E49" s="89"/>
      <c r="F49" s="89"/>
      <c r="G49" s="89"/>
      <c r="H49" s="155"/>
      <c r="I49" s="154" t="s">
        <v>223</v>
      </c>
      <c r="J49" s="89"/>
      <c r="K49" s="89"/>
      <c r="L49" s="89"/>
      <c r="M49" s="89"/>
      <c r="N49" s="89"/>
      <c r="O49" s="155"/>
      <c r="P49" s="195"/>
    </row>
    <row r="50" spans="1:16" s="83" customFormat="1" ht="15">
      <c r="A50" s="160" t="s">
        <v>128</v>
      </c>
      <c r="B50" s="157" t="s">
        <v>0</v>
      </c>
      <c r="C50" s="160" t="s">
        <v>506</v>
      </c>
      <c r="D50" s="159" t="s">
        <v>949</v>
      </c>
      <c r="E50" s="160" t="s">
        <v>508</v>
      </c>
      <c r="F50" s="159" t="s">
        <v>950</v>
      </c>
      <c r="G50" s="160" t="s">
        <v>509</v>
      </c>
      <c r="H50" s="161" t="s">
        <v>951</v>
      </c>
      <c r="I50" s="157" t="s">
        <v>0</v>
      </c>
      <c r="J50" s="160" t="s">
        <v>506</v>
      </c>
      <c r="K50" s="159" t="s">
        <v>949</v>
      </c>
      <c r="L50" s="160" t="s">
        <v>508</v>
      </c>
      <c r="M50" s="159" t="s">
        <v>950</v>
      </c>
      <c r="N50" s="160" t="s">
        <v>509</v>
      </c>
      <c r="O50" s="161" t="s">
        <v>951</v>
      </c>
      <c r="P50" s="196"/>
    </row>
    <row r="51" spans="1:16" s="83" customFormat="1" ht="15">
      <c r="A51" s="197" t="s">
        <v>130</v>
      </c>
      <c r="B51" s="164">
        <v>9093</v>
      </c>
      <c r="C51" s="126">
        <v>9052</v>
      </c>
      <c r="D51" s="144" t="s">
        <v>927</v>
      </c>
      <c r="E51" s="122">
        <v>9055</v>
      </c>
      <c r="F51" s="23" t="s">
        <v>1005</v>
      </c>
      <c r="G51" s="126">
        <v>9059</v>
      </c>
      <c r="H51" s="165" t="s">
        <v>247</v>
      </c>
      <c r="I51" s="167">
        <v>9447</v>
      </c>
      <c r="J51" s="126">
        <v>9356</v>
      </c>
      <c r="K51" s="144" t="s">
        <v>648</v>
      </c>
      <c r="L51" s="83" t="s">
        <v>1006</v>
      </c>
      <c r="M51" s="23" t="s">
        <v>1007</v>
      </c>
      <c r="N51" s="126">
        <v>9433</v>
      </c>
      <c r="O51" s="165" t="s">
        <v>662</v>
      </c>
      <c r="P51" s="145">
        <v>8209</v>
      </c>
    </row>
    <row r="52" spans="1:16" s="83" customFormat="1" ht="15">
      <c r="A52" s="197" t="s">
        <v>497</v>
      </c>
      <c r="B52" s="164">
        <v>-4482</v>
      </c>
      <c r="C52" s="126">
        <v>-4392</v>
      </c>
      <c r="D52" s="144" t="s">
        <v>375</v>
      </c>
      <c r="E52" s="122">
        <v>-4447</v>
      </c>
      <c r="F52" s="23" t="s">
        <v>389</v>
      </c>
      <c r="G52" s="75" t="s">
        <v>741</v>
      </c>
      <c r="H52" s="165" t="s">
        <v>372</v>
      </c>
      <c r="I52" s="164" t="s">
        <v>929</v>
      </c>
      <c r="J52" s="126">
        <v>-4126</v>
      </c>
      <c r="K52" s="144" t="s">
        <v>361</v>
      </c>
      <c r="L52" s="122">
        <v>-4103</v>
      </c>
      <c r="M52" s="23" t="s">
        <v>1008</v>
      </c>
      <c r="N52" s="126">
        <v>-4097</v>
      </c>
      <c r="O52" s="165" t="s">
        <v>273</v>
      </c>
      <c r="P52" s="76" t="s">
        <v>550</v>
      </c>
    </row>
    <row r="53" spans="1:16" s="83" customFormat="1" ht="15">
      <c r="A53" s="197" t="s">
        <v>551</v>
      </c>
      <c r="B53" s="167" t="s">
        <v>21</v>
      </c>
      <c r="C53" s="75" t="s">
        <v>78</v>
      </c>
      <c r="D53" s="144" t="s">
        <v>301</v>
      </c>
      <c r="E53" s="83" t="s">
        <v>78</v>
      </c>
      <c r="F53" s="23" t="s">
        <v>270</v>
      </c>
      <c r="G53" s="75" t="s">
        <v>21</v>
      </c>
      <c r="H53" s="165" t="s">
        <v>463</v>
      </c>
      <c r="I53" s="167" t="s">
        <v>557</v>
      </c>
      <c r="J53" s="75" t="s">
        <v>104</v>
      </c>
      <c r="K53" s="144" t="s">
        <v>376</v>
      </c>
      <c r="L53" s="83" t="s">
        <v>557</v>
      </c>
      <c r="M53" s="23" t="s">
        <v>407</v>
      </c>
      <c r="N53" s="75" t="s">
        <v>743</v>
      </c>
      <c r="O53" s="165" t="s">
        <v>425</v>
      </c>
      <c r="P53" s="76" t="s">
        <v>11</v>
      </c>
    </row>
    <row r="54" spans="1:16" s="83" customFormat="1" ht="15">
      <c r="A54" s="197" t="s">
        <v>132</v>
      </c>
      <c r="B54" s="167" t="s">
        <v>704</v>
      </c>
      <c r="C54" s="75" t="s">
        <v>576</v>
      </c>
      <c r="D54" s="144" t="s">
        <v>568</v>
      </c>
      <c r="E54" s="83" t="s">
        <v>61</v>
      </c>
      <c r="F54" s="23" t="s">
        <v>273</v>
      </c>
      <c r="G54" s="75" t="s">
        <v>645</v>
      </c>
      <c r="H54" s="165" t="s">
        <v>553</v>
      </c>
      <c r="I54" s="167" t="s">
        <v>930</v>
      </c>
      <c r="J54" s="75" t="s">
        <v>819</v>
      </c>
      <c r="K54" s="144" t="s">
        <v>578</v>
      </c>
      <c r="L54" s="83" t="s">
        <v>563</v>
      </c>
      <c r="M54" s="23" t="s">
        <v>246</v>
      </c>
      <c r="N54" s="75" t="s">
        <v>1009</v>
      </c>
      <c r="O54" s="165" t="s">
        <v>278</v>
      </c>
      <c r="P54" s="76" t="s">
        <v>29</v>
      </c>
    </row>
    <row r="55" spans="1:16" s="83" customFormat="1" ht="15">
      <c r="A55" s="197" t="s">
        <v>133</v>
      </c>
      <c r="B55" s="167" t="s">
        <v>749</v>
      </c>
      <c r="C55" s="75" t="s">
        <v>637</v>
      </c>
      <c r="D55" s="144" t="s">
        <v>285</v>
      </c>
      <c r="E55" s="83" t="s">
        <v>1010</v>
      </c>
      <c r="F55" s="23" t="s">
        <v>273</v>
      </c>
      <c r="G55" s="75" t="s">
        <v>749</v>
      </c>
      <c r="H55" s="165" t="s">
        <v>294</v>
      </c>
      <c r="I55" s="167" t="s">
        <v>634</v>
      </c>
      <c r="J55" s="75" t="s">
        <v>932</v>
      </c>
      <c r="K55" s="144" t="s">
        <v>261</v>
      </c>
      <c r="L55" s="83" t="s">
        <v>990</v>
      </c>
      <c r="M55" s="23" t="s">
        <v>473</v>
      </c>
      <c r="N55" s="75" t="s">
        <v>634</v>
      </c>
      <c r="O55" s="165" t="s">
        <v>364</v>
      </c>
      <c r="P55" s="76" t="s">
        <v>30</v>
      </c>
    </row>
    <row r="56" spans="1:16" s="83" customFormat="1" ht="15">
      <c r="A56" s="197" t="s">
        <v>134</v>
      </c>
      <c r="B56" s="167" t="s">
        <v>25</v>
      </c>
      <c r="C56" s="75" t="s">
        <v>47</v>
      </c>
      <c r="D56" s="168">
        <v>0</v>
      </c>
      <c r="E56" s="83" t="s">
        <v>25</v>
      </c>
      <c r="F56" s="23" t="s">
        <v>261</v>
      </c>
      <c r="G56" s="75" t="s">
        <v>25</v>
      </c>
      <c r="H56" s="165" t="s">
        <v>259</v>
      </c>
      <c r="I56" s="167" t="s">
        <v>47</v>
      </c>
      <c r="J56" s="75" t="s">
        <v>47</v>
      </c>
      <c r="K56" s="144" t="s">
        <v>376</v>
      </c>
      <c r="L56" s="83" t="s">
        <v>25</v>
      </c>
      <c r="M56" s="23" t="s">
        <v>244</v>
      </c>
      <c r="N56" s="75" t="s">
        <v>47</v>
      </c>
      <c r="O56" s="165" t="s">
        <v>658</v>
      </c>
      <c r="P56" s="76" t="s">
        <v>31</v>
      </c>
    </row>
    <row r="57" spans="1:16" s="83" customFormat="1" ht="15">
      <c r="A57" s="197" t="s">
        <v>135</v>
      </c>
      <c r="B57" s="167" t="s">
        <v>24</v>
      </c>
      <c r="C57" s="75" t="s">
        <v>933</v>
      </c>
      <c r="D57" s="144" t="s">
        <v>278</v>
      </c>
      <c r="E57" s="83" t="s">
        <v>933</v>
      </c>
      <c r="F57" s="23" t="s">
        <v>278</v>
      </c>
      <c r="G57" s="75" t="s">
        <v>839</v>
      </c>
      <c r="H57" s="165" t="s">
        <v>285</v>
      </c>
      <c r="I57" s="167" t="s">
        <v>683</v>
      </c>
      <c r="J57" s="75" t="s">
        <v>689</v>
      </c>
      <c r="K57" s="144" t="s">
        <v>422</v>
      </c>
      <c r="L57" s="83" t="s">
        <v>26</v>
      </c>
      <c r="M57" s="23" t="s">
        <v>261</v>
      </c>
      <c r="N57" s="126" t="s">
        <v>24</v>
      </c>
      <c r="O57" s="165" t="s">
        <v>385</v>
      </c>
      <c r="P57" s="76" t="s">
        <v>32</v>
      </c>
    </row>
    <row r="58" spans="1:16" s="83" customFormat="1" ht="15">
      <c r="A58" s="197" t="s">
        <v>136</v>
      </c>
      <c r="B58" s="167">
        <v>1319</v>
      </c>
      <c r="C58" s="75">
        <v>1337</v>
      </c>
      <c r="D58" s="144" t="s">
        <v>279</v>
      </c>
      <c r="E58" s="122">
        <v>1305</v>
      </c>
      <c r="F58" s="23" t="s">
        <v>430</v>
      </c>
      <c r="G58" s="126">
        <v>1312</v>
      </c>
      <c r="H58" s="165" t="s">
        <v>369</v>
      </c>
      <c r="I58" s="167">
        <v>1319</v>
      </c>
      <c r="J58" s="126">
        <v>1561</v>
      </c>
      <c r="K58" s="168">
        <v>0</v>
      </c>
      <c r="L58" s="122">
        <v>1321</v>
      </c>
      <c r="M58" s="127" t="s">
        <v>705</v>
      </c>
      <c r="N58" s="122">
        <v>1318</v>
      </c>
      <c r="O58" s="165" t="s">
        <v>245</v>
      </c>
      <c r="P58" s="145">
        <v>1044</v>
      </c>
    </row>
    <row r="59" spans="1:16" s="83" customFormat="1" ht="15">
      <c r="A59" s="197" t="s">
        <v>498</v>
      </c>
      <c r="B59" s="167">
        <v>12206</v>
      </c>
      <c r="C59" s="126">
        <v>12212</v>
      </c>
      <c r="D59" s="144" t="s">
        <v>936</v>
      </c>
      <c r="E59" s="122">
        <v>12237</v>
      </c>
      <c r="F59" s="23" t="s">
        <v>682</v>
      </c>
      <c r="G59" s="126">
        <v>12231</v>
      </c>
      <c r="H59" s="165" t="s">
        <v>407</v>
      </c>
      <c r="I59" s="164" t="s">
        <v>937</v>
      </c>
      <c r="J59" s="126">
        <v>12266</v>
      </c>
      <c r="K59" s="144" t="s">
        <v>425</v>
      </c>
      <c r="L59" s="122">
        <v>12313</v>
      </c>
      <c r="M59" s="23" t="s">
        <v>578</v>
      </c>
      <c r="N59" s="126">
        <v>12303</v>
      </c>
      <c r="O59" s="165" t="s">
        <v>1011</v>
      </c>
      <c r="P59" s="145">
        <v>11827</v>
      </c>
    </row>
    <row r="60" spans="1:16" s="83" customFormat="1" ht="15">
      <c r="A60" s="197" t="s">
        <v>137</v>
      </c>
      <c r="B60" s="167" t="s">
        <v>943</v>
      </c>
      <c r="C60" s="75" t="s">
        <v>944</v>
      </c>
      <c r="D60" s="144" t="s">
        <v>624</v>
      </c>
      <c r="E60" s="83" t="s">
        <v>921</v>
      </c>
      <c r="F60" s="23" t="s">
        <v>236</v>
      </c>
      <c r="G60" s="75" t="s">
        <v>665</v>
      </c>
      <c r="H60" s="165" t="s">
        <v>413</v>
      </c>
      <c r="I60" s="167" t="s">
        <v>945</v>
      </c>
      <c r="J60" s="75" t="s">
        <v>946</v>
      </c>
      <c r="K60" s="168">
        <v>0</v>
      </c>
      <c r="L60" s="83" t="s">
        <v>603</v>
      </c>
      <c r="M60" s="23" t="s">
        <v>273</v>
      </c>
      <c r="N60" s="126" t="s">
        <v>1012</v>
      </c>
      <c r="O60" s="165" t="s">
        <v>407</v>
      </c>
      <c r="P60" s="76" t="s">
        <v>33</v>
      </c>
    </row>
    <row r="61" spans="1:16" s="83" customFormat="1" ht="15">
      <c r="A61" s="197" t="s">
        <v>138</v>
      </c>
      <c r="B61" s="167" t="s">
        <v>31</v>
      </c>
      <c r="C61" s="75" t="s">
        <v>712</v>
      </c>
      <c r="D61" s="168">
        <v>0</v>
      </c>
      <c r="E61" s="83" t="s">
        <v>78</v>
      </c>
      <c r="F61" s="23" t="s">
        <v>632</v>
      </c>
      <c r="G61" s="126" t="s">
        <v>39</v>
      </c>
      <c r="H61" s="165" t="s">
        <v>236</v>
      </c>
      <c r="I61" s="167" t="s">
        <v>607</v>
      </c>
      <c r="J61" s="75" t="s">
        <v>621</v>
      </c>
      <c r="K61" s="144" t="s">
        <v>244</v>
      </c>
      <c r="L61" s="83" t="s">
        <v>11</v>
      </c>
      <c r="M61" s="21">
        <v>0</v>
      </c>
      <c r="N61" s="75" t="s">
        <v>1013</v>
      </c>
      <c r="O61" s="166">
        <v>0</v>
      </c>
      <c r="P61" s="76" t="s">
        <v>34</v>
      </c>
    </row>
    <row r="62" spans="1:16" s="83" customFormat="1" ht="15">
      <c r="A62" s="197" t="s">
        <v>139</v>
      </c>
      <c r="B62" s="164">
        <v>3419</v>
      </c>
      <c r="C62" s="126">
        <v>3468</v>
      </c>
      <c r="D62" s="144" t="s">
        <v>278</v>
      </c>
      <c r="E62" s="122">
        <v>3573</v>
      </c>
      <c r="F62" s="21">
        <v>0</v>
      </c>
      <c r="G62" s="126" t="s">
        <v>1014</v>
      </c>
      <c r="H62" s="166">
        <v>0</v>
      </c>
      <c r="I62" s="164">
        <v>3471</v>
      </c>
      <c r="J62" s="126">
        <v>3486</v>
      </c>
      <c r="K62" s="144" t="s">
        <v>292</v>
      </c>
      <c r="L62" s="122">
        <v>3481</v>
      </c>
      <c r="M62" s="23" t="s">
        <v>632</v>
      </c>
      <c r="N62" s="126">
        <v>3471</v>
      </c>
      <c r="O62" s="165" t="s">
        <v>768</v>
      </c>
      <c r="P62" s="145">
        <v>3568</v>
      </c>
    </row>
    <row r="63" spans="1:16" s="83" customFormat="1" ht="15">
      <c r="A63" s="197" t="s">
        <v>140</v>
      </c>
      <c r="B63" s="167" t="s">
        <v>3</v>
      </c>
      <c r="C63" s="75" t="s">
        <v>23</v>
      </c>
      <c r="D63" s="144" t="s">
        <v>468</v>
      </c>
      <c r="E63" s="83" t="s">
        <v>970</v>
      </c>
      <c r="F63" s="199" t="s">
        <v>970</v>
      </c>
      <c r="G63" s="75" t="s">
        <v>970</v>
      </c>
      <c r="H63" s="165" t="s">
        <v>970</v>
      </c>
      <c r="I63" s="167" t="s">
        <v>784</v>
      </c>
      <c r="J63" s="75" t="s">
        <v>10</v>
      </c>
      <c r="K63" s="144" t="s">
        <v>376</v>
      </c>
      <c r="L63" s="83" t="s">
        <v>970</v>
      </c>
      <c r="M63" s="199" t="s">
        <v>970</v>
      </c>
      <c r="N63" s="75" t="s">
        <v>970</v>
      </c>
      <c r="O63" s="165" t="s">
        <v>970</v>
      </c>
      <c r="P63" s="76" t="s">
        <v>35</v>
      </c>
    </row>
    <row r="64" spans="1:16" s="83" customFormat="1" ht="15">
      <c r="A64" s="197" t="s">
        <v>141</v>
      </c>
      <c r="B64" s="167" t="s">
        <v>102</v>
      </c>
      <c r="C64" s="75" t="s">
        <v>106</v>
      </c>
      <c r="D64" s="144" t="s">
        <v>545</v>
      </c>
      <c r="E64" s="83" t="s">
        <v>970</v>
      </c>
      <c r="F64" s="199" t="s">
        <v>970</v>
      </c>
      <c r="G64" s="75" t="s">
        <v>970</v>
      </c>
      <c r="H64" s="165" t="s">
        <v>970</v>
      </c>
      <c r="I64" s="167" t="s">
        <v>792</v>
      </c>
      <c r="J64" s="75" t="s">
        <v>83</v>
      </c>
      <c r="K64" s="144" t="s">
        <v>947</v>
      </c>
      <c r="L64" s="83" t="s">
        <v>970</v>
      </c>
      <c r="M64" s="199" t="s">
        <v>970</v>
      </c>
      <c r="N64" s="75" t="s">
        <v>970</v>
      </c>
      <c r="O64" s="165" t="s">
        <v>970</v>
      </c>
      <c r="P64" s="76" t="s">
        <v>36</v>
      </c>
    </row>
    <row r="65" spans="1:16" s="83" customFormat="1" ht="15">
      <c r="A65" s="197" t="s">
        <v>142</v>
      </c>
      <c r="B65" s="167" t="s">
        <v>948</v>
      </c>
      <c r="C65" s="75" t="s">
        <v>783</v>
      </c>
      <c r="D65" s="144" t="s">
        <v>611</v>
      </c>
      <c r="E65" s="75" t="s">
        <v>970</v>
      </c>
      <c r="F65" s="172" t="s">
        <v>970</v>
      </c>
      <c r="G65" s="75" t="s">
        <v>970</v>
      </c>
      <c r="H65" s="135" t="s">
        <v>970</v>
      </c>
      <c r="I65" s="167" t="s">
        <v>84</v>
      </c>
      <c r="J65" s="75" t="s">
        <v>580</v>
      </c>
      <c r="K65" s="168">
        <v>0</v>
      </c>
      <c r="L65" s="75" t="s">
        <v>970</v>
      </c>
      <c r="M65" s="172" t="s">
        <v>970</v>
      </c>
      <c r="N65" s="75" t="s">
        <v>970</v>
      </c>
      <c r="O65" s="135" t="s">
        <v>970</v>
      </c>
      <c r="P65" s="76" t="s">
        <v>38</v>
      </c>
    </row>
    <row r="66" spans="1:16" s="83" customFormat="1" ht="15">
      <c r="A66" s="197" t="s">
        <v>971</v>
      </c>
      <c r="B66" s="124" t="s">
        <v>620</v>
      </c>
      <c r="C66" s="75" t="s">
        <v>970</v>
      </c>
      <c r="D66" s="144" t="s">
        <v>970</v>
      </c>
      <c r="E66" s="83" t="s">
        <v>105</v>
      </c>
      <c r="F66" s="23" t="s">
        <v>575</v>
      </c>
      <c r="G66" s="75" t="s">
        <v>970</v>
      </c>
      <c r="H66" s="135" t="s">
        <v>970</v>
      </c>
      <c r="I66" s="124" t="s">
        <v>38</v>
      </c>
      <c r="J66" s="75" t="s">
        <v>970</v>
      </c>
      <c r="K66" s="168" t="s">
        <v>970</v>
      </c>
      <c r="L66" s="83" t="s">
        <v>616</v>
      </c>
      <c r="M66" s="23" t="s">
        <v>615</v>
      </c>
      <c r="N66" s="75" t="s">
        <v>970</v>
      </c>
      <c r="O66" s="135" t="s">
        <v>970</v>
      </c>
      <c r="P66" s="164" t="s">
        <v>577</v>
      </c>
    </row>
    <row r="67" spans="1:16" s="83" customFormat="1" thickBot="1">
      <c r="A67" s="200" t="s">
        <v>972</v>
      </c>
      <c r="B67" s="174" t="s">
        <v>559</v>
      </c>
      <c r="C67" s="80" t="s">
        <v>970</v>
      </c>
      <c r="D67" s="175" t="s">
        <v>970</v>
      </c>
      <c r="E67" s="81" t="s">
        <v>559</v>
      </c>
      <c r="F67" s="176" t="s">
        <v>472</v>
      </c>
      <c r="G67" s="80" t="s">
        <v>970</v>
      </c>
      <c r="H67" s="177" t="s">
        <v>970</v>
      </c>
      <c r="I67" s="174" t="s">
        <v>18</v>
      </c>
      <c r="J67" s="80" t="s">
        <v>970</v>
      </c>
      <c r="K67" s="201" t="s">
        <v>970</v>
      </c>
      <c r="L67" s="81" t="s">
        <v>4</v>
      </c>
      <c r="M67" s="176" t="s">
        <v>702</v>
      </c>
      <c r="N67" s="80" t="s">
        <v>970</v>
      </c>
      <c r="O67" s="177" t="s">
        <v>970</v>
      </c>
      <c r="P67" s="167" t="s">
        <v>10</v>
      </c>
    </row>
    <row r="68" spans="1:16" s="83" customFormat="1" ht="17" thickTop="1" thickBot="1">
      <c r="A68" s="203" t="s">
        <v>973</v>
      </c>
      <c r="B68" s="184"/>
      <c r="C68" s="188">
        <f>SQRT(0.0009542217829)</f>
        <v>3.0890480457577866E-2</v>
      </c>
      <c r="D68" s="187"/>
      <c r="E68" s="188">
        <f>SQRT(0.001301956697)</f>
        <v>3.6082637057177513E-2</v>
      </c>
      <c r="F68" s="187"/>
      <c r="G68" s="188">
        <f>SQRT(0.0010480719)</f>
        <v>3.2373938592639602E-2</v>
      </c>
      <c r="H68" s="189"/>
      <c r="I68" s="184"/>
      <c r="J68" s="188">
        <f>SQRT(0.00045676157)</f>
        <v>2.1371980956383055E-2</v>
      </c>
      <c r="K68" s="187"/>
      <c r="L68" s="188">
        <f>SQRT(0.00044170192566)</f>
        <v>2.101670587080668E-2</v>
      </c>
      <c r="M68" s="187"/>
      <c r="N68" s="188">
        <f>SQRT(0.000766220806)</f>
        <v>2.7680693741306411E-2</v>
      </c>
      <c r="O68" s="189"/>
      <c r="P68" s="185"/>
    </row>
    <row r="69" spans="1:16" s="83" customFormat="1" ht="15"/>
    <row r="70" spans="1:16" s="83" customFormat="1" ht="15"/>
    <row r="71" spans="1:16" s="83" customFormat="1" ht="15"/>
    <row r="72" spans="1:16" s="83" customFormat="1" ht="15"/>
    <row r="73" spans="1:16" s="83" customFormat="1" ht="15"/>
    <row r="74" spans="1:16" s="83" customFormat="1" ht="15"/>
    <row r="75" spans="1:16" s="83" customFormat="1" ht="15"/>
    <row r="76" spans="1:16" s="83" customFormat="1" ht="15"/>
    <row r="77" spans="1:16" s="83" customFormat="1" ht="15"/>
    <row r="78" spans="1:16" s="83" customFormat="1" ht="15"/>
    <row r="79" spans="1:16" s="83" customFormat="1" ht="15"/>
    <row r="80" spans="1:16" s="83" customFormat="1" ht="15"/>
    <row r="81" s="83" customFormat="1" ht="15"/>
    <row r="82" s="83" customFormat="1" ht="15"/>
    <row r="83" s="83" customFormat="1" ht="15"/>
    <row r="84" s="83" customFormat="1" ht="15"/>
    <row r="85" s="83" customFormat="1" ht="15"/>
    <row r="86" s="83" customFormat="1" ht="15"/>
    <row r="87" s="83" customFormat="1" ht="15"/>
    <row r="88" s="83" customFormat="1" ht="15"/>
    <row r="89" s="83" customFormat="1" ht="15"/>
    <row r="90" s="83" customFormat="1" ht="15"/>
    <row r="91" s="83" customFormat="1" ht="15"/>
    <row r="92" s="83" customFormat="1" ht="15"/>
    <row r="93" s="83" customFormat="1" ht="15"/>
    <row r="94" s="83" customFormat="1" ht="15"/>
    <row r="95" s="83" customFormat="1" ht="15"/>
    <row r="96" s="83" customFormat="1" ht="15"/>
    <row r="97" s="83" customFormat="1" ht="15"/>
    <row r="98" s="83" customFormat="1" ht="15"/>
    <row r="99" s="83" customFormat="1" ht="15"/>
    <row r="100" s="83" customFormat="1" ht="15"/>
    <row r="101" s="83" customFormat="1" ht="15"/>
    <row r="102" s="83" customFormat="1" ht="15"/>
    <row r="103" s="83" customFormat="1" ht="15"/>
    <row r="104" s="83" customFormat="1" ht="15"/>
    <row r="105" s="83" customFormat="1" ht="15"/>
    <row r="106" s="83" customFormat="1" ht="15"/>
    <row r="107" s="83" customFormat="1" ht="15"/>
    <row r="108" s="83" customFormat="1" ht="15"/>
    <row r="109" s="83" customFormat="1" ht="15"/>
    <row r="110" s="83" customFormat="1" ht="15"/>
    <row r="111" s="83" customFormat="1" ht="15"/>
    <row r="112" s="83" customFormat="1" ht="15"/>
    <row r="113" s="83" customFormat="1" ht="15"/>
    <row r="114" s="83" customFormat="1" ht="15"/>
    <row r="115" s="83" customFormat="1" ht="15"/>
    <row r="116" s="83" customFormat="1" ht="15"/>
    <row r="117" s="83" customFormat="1" ht="15"/>
    <row r="118" s="83" customFormat="1" ht="15"/>
    <row r="119" s="83" customFormat="1" ht="15"/>
    <row r="120" s="83" customFormat="1" ht="15"/>
    <row r="121" s="83" customFormat="1" ht="15"/>
    <row r="122" s="83" customFormat="1" ht="15"/>
    <row r="123" s="83" customFormat="1" ht="15"/>
    <row r="124" s="83" customFormat="1" ht="15"/>
    <row r="125" s="83" customFormat="1" ht="15"/>
    <row r="126" s="83" customFormat="1" ht="15"/>
    <row r="127" s="83" customFormat="1" ht="15"/>
    <row r="128" s="83" customFormat="1" ht="15"/>
    <row r="129" s="83" customFormat="1" ht="15"/>
    <row r="130" s="83" customFormat="1" ht="15"/>
    <row r="131" s="83" customFormat="1" ht="15"/>
    <row r="132" s="83" customFormat="1" ht="15"/>
    <row r="133" s="83" customFormat="1" ht="15"/>
    <row r="134" s="83" customFormat="1" ht="15"/>
    <row r="135" s="83" customFormat="1" ht="15"/>
    <row r="136" s="83" customFormat="1" ht="15"/>
    <row r="137" s="83" customFormat="1" ht="15"/>
    <row r="138" s="83" customFormat="1" ht="15"/>
    <row r="139" s="83" customFormat="1" ht="15"/>
    <row r="140" s="83" customFormat="1" ht="15"/>
    <row r="141" s="83" customFormat="1" ht="15"/>
    <row r="142" s="83" customFormat="1" ht="15"/>
    <row r="143" s="83" customFormat="1" ht="15"/>
    <row r="144" s="83" customFormat="1" ht="15"/>
    <row r="145" s="83" customFormat="1" ht="15"/>
    <row r="146" s="83" customFormat="1" ht="15"/>
    <row r="147" s="83" customFormat="1" ht="15"/>
    <row r="148" s="83" customFormat="1" ht="15"/>
    <row r="149" s="83" customFormat="1" ht="15"/>
    <row r="150" s="83" customFormat="1" ht="15"/>
    <row r="151" s="83" customFormat="1" ht="15"/>
    <row r="152" s="83" customFormat="1" ht="15"/>
    <row r="153" s="83" customFormat="1" ht="15"/>
    <row r="154" s="83" customFormat="1" ht="15"/>
    <row r="155" s="83" customFormat="1" ht="15"/>
    <row r="156" s="83" customFormat="1" ht="15"/>
    <row r="157" s="83" customFormat="1" ht="15"/>
    <row r="158" s="83" customFormat="1" ht="15"/>
    <row r="159" s="83" customFormat="1" ht="15"/>
    <row r="160" s="83" customFormat="1" ht="15"/>
    <row r="161" s="83" customFormat="1" ht="15"/>
    <row r="162" s="83" customFormat="1" ht="15"/>
    <row r="163" s="83" customFormat="1" ht="15"/>
    <row r="164" s="83" customFormat="1" ht="15"/>
    <row r="165" s="83" customFormat="1" ht="15"/>
    <row r="166" s="83" customFormat="1" ht="15"/>
    <row r="167" s="83" customFormat="1" ht="15"/>
    <row r="168" s="83" customFormat="1" ht="15"/>
    <row r="169" s="83" customFormat="1" ht="15"/>
    <row r="170" s="83" customFormat="1" ht="15"/>
    <row r="171" s="83" customFormat="1" ht="15"/>
    <row r="172" s="83" customFormat="1" ht="15"/>
    <row r="173" s="83" customFormat="1" ht="15"/>
    <row r="174" s="83" customFormat="1" ht="15"/>
    <row r="175" s="83" customFormat="1" ht="15"/>
    <row r="176" s="83" customFormat="1" ht="15"/>
    <row r="177" s="83" customFormat="1" ht="15"/>
    <row r="178" s="83" customFormat="1" ht="15"/>
    <row r="179" s="83" customFormat="1" ht="15"/>
    <row r="180" s="83" customFormat="1" ht="15"/>
    <row r="181" s="83" customFormat="1" ht="15"/>
    <row r="182" s="83" customFormat="1" ht="15"/>
    <row r="183" s="83" customFormat="1" ht="15"/>
    <row r="184" s="83" customFormat="1" ht="15"/>
    <row r="185" s="83" customFormat="1" ht="15"/>
    <row r="186" s="83" customFormat="1" ht="15"/>
    <row r="187" s="83" customFormat="1" ht="15"/>
    <row r="188" s="83" customFormat="1" ht="15"/>
    <row r="189" s="83" customFormat="1" ht="15"/>
    <row r="190" s="83" customFormat="1" ht="15"/>
    <row r="191" s="83" customFormat="1" ht="15"/>
    <row r="192" s="83" customFormat="1" ht="15"/>
    <row r="193" s="83" customFormat="1" ht="15"/>
    <row r="194" s="83" customFormat="1" ht="15"/>
  </sheetData>
  <mergeCells count="52">
    <mergeCell ref="C68:D68"/>
    <mergeCell ref="E68:F68"/>
    <mergeCell ref="G68:H68"/>
    <mergeCell ref="J68:K68"/>
    <mergeCell ref="L68:M68"/>
    <mergeCell ref="N68:O68"/>
    <mergeCell ref="A47:A49"/>
    <mergeCell ref="B47:H48"/>
    <mergeCell ref="I47:O48"/>
    <mergeCell ref="P47:P50"/>
    <mergeCell ref="B49:H49"/>
    <mergeCell ref="I49:O49"/>
    <mergeCell ref="Q45:R45"/>
    <mergeCell ref="S45:T45"/>
    <mergeCell ref="U45:V45"/>
    <mergeCell ref="X45:Y45"/>
    <mergeCell ref="Z45:AA45"/>
    <mergeCell ref="AB45:AC45"/>
    <mergeCell ref="C45:D45"/>
    <mergeCell ref="E45:F45"/>
    <mergeCell ref="G45:H45"/>
    <mergeCell ref="J45:K45"/>
    <mergeCell ref="L45:M45"/>
    <mergeCell ref="N45:O45"/>
    <mergeCell ref="A24:A26"/>
    <mergeCell ref="B24:H25"/>
    <mergeCell ref="I24:O25"/>
    <mergeCell ref="P24:V25"/>
    <mergeCell ref="W24:W27"/>
    <mergeCell ref="B26:H26"/>
    <mergeCell ref="I26:O26"/>
    <mergeCell ref="P26:V26"/>
    <mergeCell ref="Q22:R22"/>
    <mergeCell ref="S22:T22"/>
    <mergeCell ref="U22:V22"/>
    <mergeCell ref="X22:Y22"/>
    <mergeCell ref="Z22:AA22"/>
    <mergeCell ref="AB22:AC22"/>
    <mergeCell ref="C22:D22"/>
    <mergeCell ref="E22:F22"/>
    <mergeCell ref="G22:H22"/>
    <mergeCell ref="J22:K22"/>
    <mergeCell ref="L22:M22"/>
    <mergeCell ref="N22:O22"/>
    <mergeCell ref="A1:A3"/>
    <mergeCell ref="B1:H2"/>
    <mergeCell ref="I1:O2"/>
    <mergeCell ref="P1:V2"/>
    <mergeCell ref="W1:W4"/>
    <mergeCell ref="B3:H3"/>
    <mergeCell ref="I3:O3"/>
    <mergeCell ref="P3:V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C980A-B647-B140-867A-3DE759E5A198}">
  <dimension ref="A1:AK214"/>
  <sheetViews>
    <sheetView workbookViewId="0">
      <selection sqref="A1:XFD1048576"/>
    </sheetView>
  </sheetViews>
  <sheetFormatPr baseColWidth="10" defaultRowHeight="16"/>
  <cols>
    <col min="1" max="1" width="58.33203125" bestFit="1" customWidth="1"/>
    <col min="2" max="2" width="8.33203125" bestFit="1" customWidth="1"/>
    <col min="3" max="3" width="8.6640625" bestFit="1" customWidth="1"/>
    <col min="4" max="4" width="9.33203125" bestFit="1" customWidth="1"/>
    <col min="5" max="5" width="8.33203125" bestFit="1" customWidth="1"/>
    <col min="6" max="6" width="9.33203125" bestFit="1" customWidth="1"/>
    <col min="7" max="7" width="8.33203125" bestFit="1" customWidth="1"/>
    <col min="8" max="8" width="9.33203125" bestFit="1" customWidth="1"/>
    <col min="9" max="10" width="8.33203125" bestFit="1" customWidth="1"/>
    <col min="11" max="11" width="9.33203125" bestFit="1" customWidth="1"/>
    <col min="12" max="12" width="8.33203125" bestFit="1" customWidth="1"/>
    <col min="13" max="13" width="9.33203125" bestFit="1" customWidth="1"/>
    <col min="14" max="14" width="8.33203125" bestFit="1" customWidth="1"/>
    <col min="15" max="15" width="9.1640625" bestFit="1" customWidth="1"/>
    <col min="16" max="16" width="8.33203125" bestFit="1" customWidth="1"/>
    <col min="17" max="17" width="8.1640625" bestFit="1" customWidth="1"/>
    <col min="18" max="18" width="9.1640625" bestFit="1" customWidth="1"/>
    <col min="19" max="19" width="8.1640625" bestFit="1" customWidth="1"/>
    <col min="20" max="20" width="9.1640625" bestFit="1" customWidth="1"/>
    <col min="21" max="21" width="8.1640625" bestFit="1" customWidth="1"/>
    <col min="22" max="22" width="9.1640625" bestFit="1" customWidth="1"/>
    <col min="23" max="23" width="10" customWidth="1"/>
    <col min="24" max="24" width="8.1640625" bestFit="1" customWidth="1"/>
    <col min="25" max="25" width="9.1640625" bestFit="1" customWidth="1"/>
    <col min="26" max="26" width="8.1640625" bestFit="1" customWidth="1"/>
    <col min="27" max="27" width="9.1640625" bestFit="1" customWidth="1"/>
    <col min="28" max="28" width="11.6640625" bestFit="1" customWidth="1"/>
    <col min="29" max="29" width="9.1640625" bestFit="1" customWidth="1"/>
    <col min="30" max="31" width="8.1640625" bestFit="1" customWidth="1"/>
    <col min="32" max="32" width="9.1640625" bestFit="1" customWidth="1"/>
    <col min="33" max="33" width="8.1640625" bestFit="1" customWidth="1"/>
    <col min="34" max="34" width="9.1640625" bestFit="1" customWidth="1"/>
    <col min="35" max="35" width="8.1640625" bestFit="1" customWidth="1"/>
    <col min="36" max="36" width="9.1640625" bestFit="1" customWidth="1"/>
    <col min="37" max="37" width="11" customWidth="1"/>
  </cols>
  <sheetData>
    <row r="1" spans="1:23">
      <c r="A1" s="146" t="s">
        <v>68</v>
      </c>
      <c r="B1" s="100" t="s">
        <v>169</v>
      </c>
      <c r="C1" s="147"/>
      <c r="D1" s="147"/>
      <c r="E1" s="147"/>
      <c r="F1" s="147"/>
      <c r="G1" s="147"/>
      <c r="H1" s="148"/>
      <c r="I1" s="100" t="s">
        <v>170</v>
      </c>
      <c r="J1" s="147"/>
      <c r="K1" s="147"/>
      <c r="L1" s="147"/>
      <c r="M1" s="147"/>
      <c r="N1" s="147"/>
      <c r="O1" s="148"/>
      <c r="P1" s="100" t="s">
        <v>171</v>
      </c>
      <c r="Q1" s="147"/>
      <c r="R1" s="147"/>
      <c r="S1" s="147"/>
      <c r="T1" s="147"/>
      <c r="U1" s="147"/>
      <c r="V1" s="148"/>
      <c r="W1" s="194" t="s">
        <v>143</v>
      </c>
    </row>
    <row r="2" spans="1:23">
      <c r="A2" s="150"/>
      <c r="B2" s="104"/>
      <c r="C2" s="96"/>
      <c r="D2" s="96"/>
      <c r="E2" s="96"/>
      <c r="F2" s="96"/>
      <c r="G2" s="96"/>
      <c r="H2" s="151"/>
      <c r="I2" s="104"/>
      <c r="J2" s="96"/>
      <c r="K2" s="96"/>
      <c r="L2" s="96"/>
      <c r="M2" s="96"/>
      <c r="N2" s="96"/>
      <c r="O2" s="151"/>
      <c r="P2" s="104"/>
      <c r="Q2" s="96"/>
      <c r="R2" s="96"/>
      <c r="S2" s="96"/>
      <c r="T2" s="96"/>
      <c r="U2" s="96"/>
      <c r="V2" s="151"/>
      <c r="W2" s="195"/>
    </row>
    <row r="3" spans="1:23">
      <c r="A3" s="153"/>
      <c r="B3" s="154" t="s">
        <v>174</v>
      </c>
      <c r="C3" s="89"/>
      <c r="D3" s="89"/>
      <c r="E3" s="89"/>
      <c r="F3" s="89"/>
      <c r="G3" s="89"/>
      <c r="H3" s="155"/>
      <c r="I3" s="154" t="s">
        <v>175</v>
      </c>
      <c r="J3" s="89"/>
      <c r="K3" s="89"/>
      <c r="L3" s="89"/>
      <c r="M3" s="89"/>
      <c r="N3" s="89"/>
      <c r="O3" s="155"/>
      <c r="P3" s="154" t="s">
        <v>176</v>
      </c>
      <c r="Q3" s="89"/>
      <c r="R3" s="89"/>
      <c r="S3" s="89"/>
      <c r="T3" s="89"/>
      <c r="U3" s="89"/>
      <c r="V3" s="155"/>
      <c r="W3" s="195"/>
    </row>
    <row r="4" spans="1:23">
      <c r="A4" s="156" t="s">
        <v>128</v>
      </c>
      <c r="B4" s="157" t="s">
        <v>0</v>
      </c>
      <c r="C4" s="158" t="s">
        <v>506</v>
      </c>
      <c r="D4" s="159" t="s">
        <v>949</v>
      </c>
      <c r="E4" s="160" t="s">
        <v>508</v>
      </c>
      <c r="F4" s="159" t="s">
        <v>950</v>
      </c>
      <c r="G4" s="158" t="s">
        <v>509</v>
      </c>
      <c r="H4" s="161" t="s">
        <v>951</v>
      </c>
      <c r="I4" s="157" t="s">
        <v>0</v>
      </c>
      <c r="J4" s="160" t="s">
        <v>506</v>
      </c>
      <c r="K4" s="159" t="s">
        <v>949</v>
      </c>
      <c r="L4" s="160" t="s">
        <v>508</v>
      </c>
      <c r="M4" s="159" t="s">
        <v>950</v>
      </c>
      <c r="N4" s="158" t="s">
        <v>509</v>
      </c>
      <c r="O4" s="161" t="s">
        <v>951</v>
      </c>
      <c r="P4" s="157" t="s">
        <v>0</v>
      </c>
      <c r="Q4" s="160" t="s">
        <v>506</v>
      </c>
      <c r="R4" s="159" t="s">
        <v>949</v>
      </c>
      <c r="S4" s="160" t="s">
        <v>508</v>
      </c>
      <c r="T4" s="159" t="s">
        <v>950</v>
      </c>
      <c r="U4" s="160" t="s">
        <v>509</v>
      </c>
      <c r="V4" s="161" t="s">
        <v>951</v>
      </c>
      <c r="W4" s="196"/>
    </row>
    <row r="5" spans="1:23">
      <c r="A5" s="163" t="s">
        <v>130</v>
      </c>
      <c r="B5" s="164">
        <v>7831</v>
      </c>
      <c r="C5" s="122">
        <v>8721</v>
      </c>
      <c r="D5" s="144" t="s">
        <v>545</v>
      </c>
      <c r="E5" s="122">
        <v>8638</v>
      </c>
      <c r="F5" s="171" t="s">
        <v>246</v>
      </c>
      <c r="G5" s="122">
        <v>8272</v>
      </c>
      <c r="H5" s="128">
        <v>0.223</v>
      </c>
      <c r="I5" s="164">
        <v>7624</v>
      </c>
      <c r="J5" s="126" t="s">
        <v>738</v>
      </c>
      <c r="K5" s="168">
        <v>0.01</v>
      </c>
      <c r="L5" s="122">
        <v>8011</v>
      </c>
      <c r="M5" s="172">
        <v>0.2</v>
      </c>
      <c r="N5" s="122">
        <v>8099</v>
      </c>
      <c r="O5" s="128" t="s">
        <v>545</v>
      </c>
      <c r="P5" s="164" t="s">
        <v>739</v>
      </c>
      <c r="Q5" s="126">
        <v>9226</v>
      </c>
      <c r="R5" s="144" t="s">
        <v>284</v>
      </c>
      <c r="S5" s="122">
        <v>9782</v>
      </c>
      <c r="T5" s="204" t="s">
        <v>474</v>
      </c>
      <c r="U5" s="122">
        <v>10451</v>
      </c>
      <c r="V5" s="135">
        <v>0</v>
      </c>
      <c r="W5" s="205">
        <v>8209</v>
      </c>
    </row>
    <row r="6" spans="1:23">
      <c r="A6" s="163" t="s">
        <v>497</v>
      </c>
      <c r="B6" s="164">
        <v>-4857</v>
      </c>
      <c r="C6" s="122">
        <v>-4062</v>
      </c>
      <c r="D6" s="168">
        <v>0</v>
      </c>
      <c r="E6" s="122">
        <v>-4818</v>
      </c>
      <c r="F6" s="171" t="s">
        <v>303</v>
      </c>
      <c r="G6" s="122">
        <v>-4847</v>
      </c>
      <c r="H6" s="128">
        <v>0.111</v>
      </c>
      <c r="I6" s="164">
        <v>-5242</v>
      </c>
      <c r="J6" s="126">
        <v>-4833</v>
      </c>
      <c r="K6" s="144" t="s">
        <v>565</v>
      </c>
      <c r="L6" s="122">
        <v>-5094</v>
      </c>
      <c r="M6" s="171" t="s">
        <v>702</v>
      </c>
      <c r="N6" s="122">
        <v>-4903</v>
      </c>
      <c r="O6" s="128" t="s">
        <v>558</v>
      </c>
      <c r="P6" s="164">
        <v>-4351</v>
      </c>
      <c r="Q6" s="126" t="s">
        <v>741</v>
      </c>
      <c r="R6" s="144" t="s">
        <v>302</v>
      </c>
      <c r="S6" s="122">
        <v>-4161</v>
      </c>
      <c r="T6" s="171" t="s">
        <v>376</v>
      </c>
      <c r="U6" s="122">
        <v>-3719</v>
      </c>
      <c r="V6" s="135">
        <v>0</v>
      </c>
      <c r="W6" s="76" t="s">
        <v>550</v>
      </c>
    </row>
    <row r="7" spans="1:23">
      <c r="A7" s="163" t="s">
        <v>551</v>
      </c>
      <c r="B7" s="167" t="s">
        <v>581</v>
      </c>
      <c r="C7" s="83" t="s">
        <v>743</v>
      </c>
      <c r="D7" s="144" t="s">
        <v>421</v>
      </c>
      <c r="E7" s="122" t="s">
        <v>581</v>
      </c>
      <c r="F7" s="171" t="s">
        <v>416</v>
      </c>
      <c r="G7" s="122" t="s">
        <v>31</v>
      </c>
      <c r="H7" s="128">
        <v>0.23799999999999999</v>
      </c>
      <c r="I7" s="167" t="s">
        <v>744</v>
      </c>
      <c r="J7" s="75" t="s">
        <v>619</v>
      </c>
      <c r="K7" s="144" t="s">
        <v>372</v>
      </c>
      <c r="L7" s="122" t="s">
        <v>49</v>
      </c>
      <c r="M7" s="171" t="s">
        <v>1015</v>
      </c>
      <c r="N7" s="122" t="s">
        <v>838</v>
      </c>
      <c r="O7" s="135">
        <v>7.0000000000000007E-2</v>
      </c>
      <c r="P7" s="167" t="s">
        <v>5</v>
      </c>
      <c r="Q7" s="75" t="s">
        <v>84</v>
      </c>
      <c r="R7" s="144" t="s">
        <v>257</v>
      </c>
      <c r="S7" s="83" t="s">
        <v>732</v>
      </c>
      <c r="T7" s="171" t="s">
        <v>248</v>
      </c>
      <c r="U7" s="83" t="s">
        <v>788</v>
      </c>
      <c r="V7" s="128" t="s">
        <v>1011</v>
      </c>
      <c r="W7" s="76" t="s">
        <v>11</v>
      </c>
    </row>
    <row r="8" spans="1:23">
      <c r="A8" s="163" t="s">
        <v>132</v>
      </c>
      <c r="B8" s="167" t="s">
        <v>115</v>
      </c>
      <c r="C8" s="83" t="s">
        <v>695</v>
      </c>
      <c r="D8" s="144" t="s">
        <v>405</v>
      </c>
      <c r="E8" s="83" t="s">
        <v>931</v>
      </c>
      <c r="F8" s="172">
        <v>0.01</v>
      </c>
      <c r="G8" s="83" t="s">
        <v>1016</v>
      </c>
      <c r="H8" s="128">
        <v>7.5999999999999998E-2</v>
      </c>
      <c r="I8" s="167" t="s">
        <v>561</v>
      </c>
      <c r="J8" s="75" t="s">
        <v>747</v>
      </c>
      <c r="K8" s="144" t="s">
        <v>244</v>
      </c>
      <c r="L8" s="83" t="s">
        <v>1017</v>
      </c>
      <c r="M8" s="171">
        <v>0.02</v>
      </c>
      <c r="N8" s="83" t="s">
        <v>698</v>
      </c>
      <c r="O8" s="128" t="s">
        <v>256</v>
      </c>
      <c r="P8" s="167" t="s">
        <v>748</v>
      </c>
      <c r="Q8" s="75" t="s">
        <v>749</v>
      </c>
      <c r="R8" s="144" t="s">
        <v>401</v>
      </c>
      <c r="S8" s="83" t="s">
        <v>749</v>
      </c>
      <c r="T8" s="171" t="s">
        <v>280</v>
      </c>
      <c r="U8" s="83" t="s">
        <v>644</v>
      </c>
      <c r="V8" s="128" t="s">
        <v>268</v>
      </c>
      <c r="W8" s="76" t="s">
        <v>29</v>
      </c>
    </row>
    <row r="9" spans="1:23">
      <c r="A9" s="163" t="s">
        <v>133</v>
      </c>
      <c r="B9" s="167" t="s">
        <v>754</v>
      </c>
      <c r="C9" s="83" t="s">
        <v>755</v>
      </c>
      <c r="D9" s="144" t="s">
        <v>421</v>
      </c>
      <c r="E9" s="83" t="s">
        <v>868</v>
      </c>
      <c r="F9" s="171" t="s">
        <v>472</v>
      </c>
      <c r="G9" s="83" t="s">
        <v>1018</v>
      </c>
      <c r="H9" s="128">
        <v>0.13300000000000001</v>
      </c>
      <c r="I9" s="167" t="s">
        <v>755</v>
      </c>
      <c r="J9" s="75" t="s">
        <v>120</v>
      </c>
      <c r="K9" s="144" t="s">
        <v>285</v>
      </c>
      <c r="L9" s="83" t="s">
        <v>1010</v>
      </c>
      <c r="M9" s="171" t="s">
        <v>822</v>
      </c>
      <c r="N9" s="83" t="s">
        <v>1019</v>
      </c>
      <c r="O9" s="128" t="s">
        <v>413</v>
      </c>
      <c r="P9" s="167" t="s">
        <v>756</v>
      </c>
      <c r="Q9" s="75" t="s">
        <v>757</v>
      </c>
      <c r="R9" s="168">
        <v>0</v>
      </c>
      <c r="S9" s="83" t="s">
        <v>819</v>
      </c>
      <c r="T9" s="171">
        <v>0</v>
      </c>
      <c r="U9" s="83" t="s">
        <v>960</v>
      </c>
      <c r="V9" s="128" t="s">
        <v>397</v>
      </c>
      <c r="W9" s="76" t="s">
        <v>30</v>
      </c>
    </row>
    <row r="10" spans="1:23">
      <c r="A10" s="163" t="s">
        <v>134</v>
      </c>
      <c r="B10" s="167" t="s">
        <v>760</v>
      </c>
      <c r="C10" s="83" t="s">
        <v>101</v>
      </c>
      <c r="D10" s="168">
        <v>0</v>
      </c>
      <c r="E10" s="83" t="s">
        <v>28</v>
      </c>
      <c r="F10" s="172">
        <v>0.16</v>
      </c>
      <c r="G10" s="83" t="s">
        <v>744</v>
      </c>
      <c r="H10" s="128">
        <v>1E-3</v>
      </c>
      <c r="I10" s="167" t="s">
        <v>112</v>
      </c>
      <c r="J10" s="75" t="s">
        <v>101</v>
      </c>
      <c r="K10" s="144" t="s">
        <v>265</v>
      </c>
      <c r="L10" s="83" t="s">
        <v>22</v>
      </c>
      <c r="M10" s="171" t="s">
        <v>545</v>
      </c>
      <c r="N10" s="83" t="s">
        <v>104</v>
      </c>
      <c r="O10" s="128" t="s">
        <v>284</v>
      </c>
      <c r="P10" s="167" t="s">
        <v>72</v>
      </c>
      <c r="Q10" s="75" t="s">
        <v>101</v>
      </c>
      <c r="R10" s="168">
        <v>0</v>
      </c>
      <c r="S10" s="83" t="s">
        <v>745</v>
      </c>
      <c r="T10" s="171" t="s">
        <v>628</v>
      </c>
      <c r="U10" s="83" t="s">
        <v>745</v>
      </c>
      <c r="V10" s="128" t="s">
        <v>388</v>
      </c>
      <c r="W10" s="76" t="s">
        <v>31</v>
      </c>
    </row>
    <row r="11" spans="1:23">
      <c r="A11" s="163" t="s">
        <v>135</v>
      </c>
      <c r="B11" s="167" t="s">
        <v>84</v>
      </c>
      <c r="C11" s="83" t="s">
        <v>762</v>
      </c>
      <c r="D11" s="168" t="s">
        <v>385</v>
      </c>
      <c r="E11" s="83" t="s">
        <v>652</v>
      </c>
      <c r="F11" s="171" t="s">
        <v>595</v>
      </c>
      <c r="G11" s="83" t="s">
        <v>619</v>
      </c>
      <c r="H11" s="128">
        <v>9.2999999999999999E-2</v>
      </c>
      <c r="I11" s="167" t="s">
        <v>17</v>
      </c>
      <c r="J11" s="75" t="s">
        <v>76</v>
      </c>
      <c r="K11" s="144" t="s">
        <v>424</v>
      </c>
      <c r="L11" s="83" t="s">
        <v>656</v>
      </c>
      <c r="M11" s="171" t="s">
        <v>416</v>
      </c>
      <c r="N11" s="83" t="s">
        <v>76</v>
      </c>
      <c r="O11" s="128" t="s">
        <v>707</v>
      </c>
      <c r="P11" s="167" t="s">
        <v>748</v>
      </c>
      <c r="Q11" s="75" t="s">
        <v>759</v>
      </c>
      <c r="R11" s="144" t="s">
        <v>628</v>
      </c>
      <c r="S11" s="83" t="s">
        <v>876</v>
      </c>
      <c r="T11" s="171" t="s">
        <v>1001</v>
      </c>
      <c r="U11" s="122" t="s">
        <v>114</v>
      </c>
      <c r="V11" s="135">
        <v>0</v>
      </c>
      <c r="W11" s="76" t="s">
        <v>32</v>
      </c>
    </row>
    <row r="12" spans="1:23">
      <c r="A12" s="163" t="s">
        <v>136</v>
      </c>
      <c r="B12" s="164" t="s">
        <v>763</v>
      </c>
      <c r="C12" s="122">
        <v>1672</v>
      </c>
      <c r="D12" s="144" t="s">
        <v>611</v>
      </c>
      <c r="E12" s="122">
        <v>1098</v>
      </c>
      <c r="F12" s="171" t="s">
        <v>678</v>
      </c>
      <c r="G12" s="122">
        <v>1177</v>
      </c>
      <c r="H12" s="128">
        <v>5.2999999999999999E-2</v>
      </c>
      <c r="I12" s="167" t="s">
        <v>763</v>
      </c>
      <c r="J12" s="75" t="s">
        <v>764</v>
      </c>
      <c r="K12" s="168" t="s">
        <v>678</v>
      </c>
      <c r="L12" s="83" t="s">
        <v>1020</v>
      </c>
      <c r="M12" s="171" t="s">
        <v>360</v>
      </c>
      <c r="N12" s="122" t="s">
        <v>1021</v>
      </c>
      <c r="O12" s="128" t="s">
        <v>361</v>
      </c>
      <c r="P12" s="167" t="s">
        <v>763</v>
      </c>
      <c r="Q12" s="75">
        <v>1084</v>
      </c>
      <c r="R12" s="168" t="s">
        <v>385</v>
      </c>
      <c r="S12" s="122">
        <v>1425</v>
      </c>
      <c r="T12" s="172">
        <v>0</v>
      </c>
      <c r="U12" s="122">
        <v>1542</v>
      </c>
      <c r="V12" s="135">
        <v>0</v>
      </c>
      <c r="W12" s="145">
        <v>1044</v>
      </c>
    </row>
    <row r="13" spans="1:23">
      <c r="A13" s="163" t="s">
        <v>498</v>
      </c>
      <c r="B13" s="164">
        <v>11788</v>
      </c>
      <c r="C13" s="122">
        <v>11885</v>
      </c>
      <c r="D13" s="144" t="s">
        <v>287</v>
      </c>
      <c r="E13" s="122">
        <v>12233</v>
      </c>
      <c r="F13" s="171" t="s">
        <v>418</v>
      </c>
      <c r="G13" s="122">
        <v>11805</v>
      </c>
      <c r="H13" s="128">
        <v>6.5000000000000002E-2</v>
      </c>
      <c r="I13" s="164">
        <v>11939</v>
      </c>
      <c r="J13" s="126">
        <v>12153</v>
      </c>
      <c r="K13" s="168">
        <v>0</v>
      </c>
      <c r="L13" s="122">
        <v>11992</v>
      </c>
      <c r="M13" s="171" t="s">
        <v>795</v>
      </c>
      <c r="N13" s="122">
        <v>11915</v>
      </c>
      <c r="O13" s="128" t="s">
        <v>405</v>
      </c>
      <c r="P13" s="164">
        <v>12626</v>
      </c>
      <c r="Q13" s="126">
        <v>12686</v>
      </c>
      <c r="R13" s="144" t="s">
        <v>768</v>
      </c>
      <c r="S13" s="122">
        <v>12922</v>
      </c>
      <c r="T13" s="172">
        <v>0</v>
      </c>
      <c r="U13" s="122">
        <v>13227</v>
      </c>
      <c r="V13" s="135">
        <v>0</v>
      </c>
      <c r="W13" s="145">
        <v>11827</v>
      </c>
    </row>
    <row r="14" spans="1:23">
      <c r="A14" s="163" t="s">
        <v>137</v>
      </c>
      <c r="B14" s="167" t="s">
        <v>770</v>
      </c>
      <c r="C14" s="83" t="s">
        <v>771</v>
      </c>
      <c r="D14" s="144" t="s">
        <v>425</v>
      </c>
      <c r="E14" s="122" t="s">
        <v>1022</v>
      </c>
      <c r="F14" s="171" t="s">
        <v>429</v>
      </c>
      <c r="G14" s="122" t="s">
        <v>1023</v>
      </c>
      <c r="H14" s="135">
        <v>0</v>
      </c>
      <c r="I14" s="167" t="s">
        <v>772</v>
      </c>
      <c r="J14" s="75" t="s">
        <v>773</v>
      </c>
      <c r="K14" s="144" t="s">
        <v>411</v>
      </c>
      <c r="L14" s="122" t="s">
        <v>1024</v>
      </c>
      <c r="M14" s="171" t="s">
        <v>611</v>
      </c>
      <c r="N14" s="122" t="s">
        <v>1025</v>
      </c>
      <c r="O14" s="128" t="s">
        <v>558</v>
      </c>
      <c r="P14" s="167" t="s">
        <v>774</v>
      </c>
      <c r="Q14" s="75" t="s">
        <v>775</v>
      </c>
      <c r="R14" s="144" t="s">
        <v>236</v>
      </c>
      <c r="S14" s="122" t="s">
        <v>1026</v>
      </c>
      <c r="T14" s="171" t="s">
        <v>272</v>
      </c>
      <c r="U14" s="83" t="s">
        <v>1027</v>
      </c>
      <c r="V14" s="128" t="s">
        <v>470</v>
      </c>
      <c r="W14" s="76" t="s">
        <v>33</v>
      </c>
    </row>
    <row r="15" spans="1:23">
      <c r="A15" s="163" t="s">
        <v>138</v>
      </c>
      <c r="B15" s="167" t="s">
        <v>106</v>
      </c>
      <c r="C15" s="83" t="s">
        <v>781</v>
      </c>
      <c r="D15" s="144" t="s">
        <v>705</v>
      </c>
      <c r="E15" s="83" t="s">
        <v>892</v>
      </c>
      <c r="F15" s="171" t="s">
        <v>439</v>
      </c>
      <c r="G15" s="83" t="s">
        <v>103</v>
      </c>
      <c r="H15" s="128">
        <v>7.0000000000000001E-3</v>
      </c>
      <c r="I15" s="167" t="s">
        <v>27</v>
      </c>
      <c r="J15" s="75" t="s">
        <v>101</v>
      </c>
      <c r="K15" s="144" t="s">
        <v>782</v>
      </c>
      <c r="L15" s="83" t="s">
        <v>72</v>
      </c>
      <c r="M15" s="171" t="s">
        <v>615</v>
      </c>
      <c r="N15" s="83" t="s">
        <v>36</v>
      </c>
      <c r="O15" s="128" t="s">
        <v>1028</v>
      </c>
      <c r="P15" s="167" t="s">
        <v>783</v>
      </c>
      <c r="Q15" s="75" t="s">
        <v>10</v>
      </c>
      <c r="R15" s="144" t="s">
        <v>272</v>
      </c>
      <c r="S15" s="83" t="s">
        <v>18</v>
      </c>
      <c r="T15" s="171" t="s">
        <v>786</v>
      </c>
      <c r="U15" s="122" t="s">
        <v>10</v>
      </c>
      <c r="V15" s="128" t="s">
        <v>375</v>
      </c>
      <c r="W15" s="76" t="s">
        <v>34</v>
      </c>
    </row>
    <row r="16" spans="1:23">
      <c r="A16" s="163" t="s">
        <v>139</v>
      </c>
      <c r="B16" s="164">
        <v>3699</v>
      </c>
      <c r="C16" s="122">
        <v>3585</v>
      </c>
      <c r="D16" s="168">
        <v>0</v>
      </c>
      <c r="E16" s="122">
        <v>3441</v>
      </c>
      <c r="F16" s="171" t="s">
        <v>261</v>
      </c>
      <c r="G16" s="122">
        <v>3481</v>
      </c>
      <c r="H16" s="135">
        <v>0</v>
      </c>
      <c r="I16" s="164">
        <v>3574</v>
      </c>
      <c r="J16" s="126">
        <v>3566</v>
      </c>
      <c r="K16" s="168">
        <v>0.01</v>
      </c>
      <c r="L16" s="122" t="s">
        <v>1029</v>
      </c>
      <c r="M16" s="172">
        <v>0</v>
      </c>
      <c r="N16" s="122">
        <v>3577</v>
      </c>
      <c r="O16" s="128" t="s">
        <v>303</v>
      </c>
      <c r="P16" s="164">
        <v>3705</v>
      </c>
      <c r="Q16" s="126" t="s">
        <v>785</v>
      </c>
      <c r="R16" s="144" t="s">
        <v>786</v>
      </c>
      <c r="S16" s="122">
        <v>3706</v>
      </c>
      <c r="T16" s="171" t="s">
        <v>405</v>
      </c>
      <c r="U16" s="122">
        <v>3697</v>
      </c>
      <c r="V16" s="128" t="s">
        <v>1030</v>
      </c>
      <c r="W16" s="145">
        <v>3568</v>
      </c>
    </row>
    <row r="17" spans="1:37">
      <c r="A17" s="163" t="s">
        <v>140</v>
      </c>
      <c r="B17" s="167" t="s">
        <v>787</v>
      </c>
      <c r="C17" s="83" t="s">
        <v>788</v>
      </c>
      <c r="D17" s="144" t="s">
        <v>376</v>
      </c>
      <c r="E17" s="75" t="s">
        <v>970</v>
      </c>
      <c r="F17" s="172" t="s">
        <v>970</v>
      </c>
      <c r="G17" s="122"/>
      <c r="H17" s="128"/>
      <c r="I17" s="167" t="s">
        <v>789</v>
      </c>
      <c r="J17" s="75" t="s">
        <v>790</v>
      </c>
      <c r="K17" s="144" t="s">
        <v>678</v>
      </c>
      <c r="L17" s="75" t="s">
        <v>970</v>
      </c>
      <c r="M17" s="172" t="s">
        <v>970</v>
      </c>
      <c r="N17" s="83" t="s">
        <v>970</v>
      </c>
      <c r="O17" s="128" t="s">
        <v>970</v>
      </c>
      <c r="P17" s="167" t="s">
        <v>791</v>
      </c>
      <c r="Q17" s="75" t="s">
        <v>31</v>
      </c>
      <c r="R17" s="144" t="s">
        <v>261</v>
      </c>
      <c r="S17" s="75" t="s">
        <v>970</v>
      </c>
      <c r="T17" s="171" t="s">
        <v>970</v>
      </c>
      <c r="U17" s="83" t="s">
        <v>970</v>
      </c>
      <c r="V17" s="128" t="s">
        <v>970</v>
      </c>
      <c r="W17" s="76" t="s">
        <v>35</v>
      </c>
    </row>
    <row r="18" spans="1:37">
      <c r="A18" s="163" t="s">
        <v>141</v>
      </c>
      <c r="B18" s="167" t="s">
        <v>656</v>
      </c>
      <c r="C18" s="83" t="s">
        <v>626</v>
      </c>
      <c r="D18" s="144" t="s">
        <v>794</v>
      </c>
      <c r="E18" s="75" t="s">
        <v>970</v>
      </c>
      <c r="F18" s="172" t="s">
        <v>970</v>
      </c>
      <c r="G18" s="83" t="s">
        <v>970</v>
      </c>
      <c r="H18" s="128" t="s">
        <v>970</v>
      </c>
      <c r="I18" s="167" t="s">
        <v>618</v>
      </c>
      <c r="J18" s="75" t="s">
        <v>554</v>
      </c>
      <c r="K18" s="168" t="s">
        <v>299</v>
      </c>
      <c r="L18" s="75" t="s">
        <v>970</v>
      </c>
      <c r="M18" s="172" t="s">
        <v>970</v>
      </c>
      <c r="N18" s="83" t="s">
        <v>970</v>
      </c>
      <c r="O18" s="128" t="s">
        <v>970</v>
      </c>
      <c r="P18" s="167" t="s">
        <v>653</v>
      </c>
      <c r="Q18" s="75" t="s">
        <v>581</v>
      </c>
      <c r="R18" s="168" t="s">
        <v>611</v>
      </c>
      <c r="S18" s="75" t="s">
        <v>970</v>
      </c>
      <c r="T18" s="171" t="s">
        <v>970</v>
      </c>
      <c r="U18" s="83" t="s">
        <v>970</v>
      </c>
      <c r="V18" s="128" t="s">
        <v>970</v>
      </c>
      <c r="W18" s="76" t="s">
        <v>36</v>
      </c>
    </row>
    <row r="19" spans="1:37">
      <c r="A19" s="163" t="s">
        <v>142</v>
      </c>
      <c r="B19" s="167" t="s">
        <v>95</v>
      </c>
      <c r="C19" s="83" t="s">
        <v>37</v>
      </c>
      <c r="D19" s="144" t="s">
        <v>796</v>
      </c>
      <c r="E19" s="75" t="s">
        <v>970</v>
      </c>
      <c r="F19" s="172" t="s">
        <v>970</v>
      </c>
      <c r="G19" s="83" t="s">
        <v>970</v>
      </c>
      <c r="H19" s="135" t="s">
        <v>970</v>
      </c>
      <c r="I19" s="167" t="s">
        <v>714</v>
      </c>
      <c r="J19" s="75" t="s">
        <v>621</v>
      </c>
      <c r="K19" s="144" t="s">
        <v>655</v>
      </c>
      <c r="L19" s="75" t="s">
        <v>970</v>
      </c>
      <c r="M19" s="172" t="s">
        <v>970</v>
      </c>
      <c r="N19" s="83" t="s">
        <v>970</v>
      </c>
      <c r="O19" s="135" t="s">
        <v>970</v>
      </c>
      <c r="P19" s="167" t="s">
        <v>116</v>
      </c>
      <c r="Q19" s="75" t="s">
        <v>683</v>
      </c>
      <c r="R19" s="144" t="s">
        <v>384</v>
      </c>
      <c r="S19" s="75" t="s">
        <v>970</v>
      </c>
      <c r="T19" s="172" t="s">
        <v>970</v>
      </c>
      <c r="U19" s="83" t="s">
        <v>970</v>
      </c>
      <c r="V19" s="135" t="s">
        <v>970</v>
      </c>
      <c r="W19" s="76" t="s">
        <v>38</v>
      </c>
    </row>
    <row r="20" spans="1:37">
      <c r="A20" s="163" t="s">
        <v>1031</v>
      </c>
      <c r="B20" s="167" t="s">
        <v>793</v>
      </c>
      <c r="C20" s="83" t="s">
        <v>970</v>
      </c>
      <c r="D20" s="144" t="s">
        <v>970</v>
      </c>
      <c r="E20" s="83" t="s">
        <v>855</v>
      </c>
      <c r="F20" s="171" t="s">
        <v>1032</v>
      </c>
      <c r="G20" s="83" t="s">
        <v>970</v>
      </c>
      <c r="H20" s="135" t="s">
        <v>970</v>
      </c>
      <c r="I20" s="167" t="s">
        <v>12</v>
      </c>
      <c r="J20" s="75" t="s">
        <v>970</v>
      </c>
      <c r="K20" s="144" t="s">
        <v>970</v>
      </c>
      <c r="L20" s="75" t="s">
        <v>101</v>
      </c>
      <c r="M20" s="171" t="s">
        <v>280</v>
      </c>
      <c r="N20" s="83" t="s">
        <v>970</v>
      </c>
      <c r="O20" s="135" t="s">
        <v>970</v>
      </c>
      <c r="P20" s="167" t="s">
        <v>684</v>
      </c>
      <c r="Q20" s="75" t="s">
        <v>970</v>
      </c>
      <c r="R20" s="144" t="s">
        <v>970</v>
      </c>
      <c r="S20" s="122" t="s">
        <v>77</v>
      </c>
      <c r="T20" s="171" t="s">
        <v>610</v>
      </c>
      <c r="U20" s="83" t="s">
        <v>970</v>
      </c>
      <c r="V20" s="135" t="s">
        <v>970</v>
      </c>
      <c r="W20" s="76" t="s">
        <v>1033</v>
      </c>
    </row>
    <row r="21" spans="1:37" ht="17" thickBot="1">
      <c r="A21" s="206" t="s">
        <v>1034</v>
      </c>
      <c r="B21" s="185" t="s">
        <v>9</v>
      </c>
      <c r="C21" s="138" t="s">
        <v>970</v>
      </c>
      <c r="D21" s="207" t="s">
        <v>970</v>
      </c>
      <c r="E21" s="83" t="s">
        <v>93</v>
      </c>
      <c r="F21" s="208">
        <v>0.09</v>
      </c>
      <c r="G21" s="138" t="s">
        <v>970</v>
      </c>
      <c r="H21" s="142" t="s">
        <v>970</v>
      </c>
      <c r="I21" s="184" t="s">
        <v>1035</v>
      </c>
      <c r="J21" s="209" t="s">
        <v>970</v>
      </c>
      <c r="K21" s="207" t="s">
        <v>970</v>
      </c>
      <c r="L21" s="209" t="s">
        <v>5</v>
      </c>
      <c r="M21" s="208">
        <v>0</v>
      </c>
      <c r="N21" s="138" t="s">
        <v>970</v>
      </c>
      <c r="O21" s="142" t="s">
        <v>970</v>
      </c>
      <c r="P21" s="185" t="s">
        <v>12</v>
      </c>
      <c r="Q21" s="77" t="s">
        <v>970</v>
      </c>
      <c r="R21" s="18" t="s">
        <v>970</v>
      </c>
      <c r="S21" s="83" t="s">
        <v>83</v>
      </c>
      <c r="T21" s="210" t="s">
        <v>474</v>
      </c>
      <c r="U21" s="138" t="s">
        <v>970</v>
      </c>
      <c r="V21" s="142" t="s">
        <v>970</v>
      </c>
      <c r="W21" s="76" t="s">
        <v>87</v>
      </c>
    </row>
    <row r="22" spans="1:37" ht="18" thickTop="1" thickBot="1">
      <c r="A22" s="179" t="s">
        <v>973</v>
      </c>
      <c r="B22" s="211"/>
      <c r="C22" s="181" t="s">
        <v>1036</v>
      </c>
      <c r="D22" s="182"/>
      <c r="E22" s="181" t="s">
        <v>1037</v>
      </c>
      <c r="F22" s="182"/>
      <c r="G22" s="181" t="s">
        <v>1038</v>
      </c>
      <c r="H22" s="183"/>
      <c r="I22" s="212"/>
      <c r="J22" s="181" t="s">
        <v>1039</v>
      </c>
      <c r="K22" s="182"/>
      <c r="L22" s="181" t="s">
        <v>1040</v>
      </c>
      <c r="M22" s="182"/>
      <c r="N22" s="181" t="s">
        <v>1041</v>
      </c>
      <c r="O22" s="183"/>
      <c r="P22" s="212"/>
      <c r="Q22" s="181" t="s">
        <v>1042</v>
      </c>
      <c r="R22" s="182"/>
      <c r="S22" s="213" t="s">
        <v>1043</v>
      </c>
      <c r="T22" s="214"/>
      <c r="U22" s="181" t="s">
        <v>1044</v>
      </c>
      <c r="V22" s="183"/>
      <c r="W22" s="215"/>
    </row>
    <row r="23" spans="1:37" ht="17" thickBot="1">
      <c r="A23" s="190"/>
      <c r="B23" s="83"/>
      <c r="C23" s="83"/>
      <c r="D23" s="191"/>
      <c r="E23" s="83"/>
      <c r="F23" s="192"/>
      <c r="G23" s="83"/>
      <c r="H23" s="192"/>
      <c r="I23" s="83"/>
      <c r="J23" s="83"/>
      <c r="K23" s="191"/>
      <c r="L23" s="83"/>
      <c r="M23" s="192"/>
      <c r="N23" s="83"/>
      <c r="O23" s="192"/>
      <c r="P23" s="83"/>
      <c r="Q23" s="83"/>
      <c r="R23" s="191"/>
      <c r="S23" s="83"/>
      <c r="T23" s="192"/>
      <c r="U23" s="83"/>
      <c r="V23" s="192"/>
      <c r="W23" s="83"/>
      <c r="X23" s="83"/>
      <c r="Y23" s="193"/>
      <c r="Z23" s="83"/>
      <c r="AA23" s="192"/>
      <c r="AB23" s="83"/>
      <c r="AC23" s="192"/>
      <c r="AD23" s="83"/>
      <c r="AE23" s="83"/>
      <c r="AF23" s="191"/>
      <c r="AG23" s="83"/>
      <c r="AH23" s="192"/>
      <c r="AI23" s="83"/>
      <c r="AJ23" s="192"/>
      <c r="AK23" s="83"/>
    </row>
    <row r="24" spans="1:37">
      <c r="A24" s="146" t="s">
        <v>68</v>
      </c>
      <c r="B24" s="100" t="s">
        <v>172</v>
      </c>
      <c r="C24" s="147"/>
      <c r="D24" s="147"/>
      <c r="E24" s="147"/>
      <c r="F24" s="147"/>
      <c r="G24" s="147"/>
      <c r="H24" s="148"/>
      <c r="I24" s="100" t="s">
        <v>173</v>
      </c>
      <c r="J24" s="147"/>
      <c r="K24" s="147"/>
      <c r="L24" s="147"/>
      <c r="M24" s="147"/>
      <c r="N24" s="147"/>
      <c r="O24" s="148"/>
      <c r="P24" s="100" t="s">
        <v>1045</v>
      </c>
      <c r="Q24" s="147"/>
      <c r="R24" s="147"/>
      <c r="S24" s="147"/>
      <c r="T24" s="147"/>
      <c r="U24" s="147"/>
      <c r="V24" s="148"/>
      <c r="W24" s="194" t="s">
        <v>143</v>
      </c>
    </row>
    <row r="25" spans="1:37">
      <c r="A25" s="150"/>
      <c r="B25" s="104"/>
      <c r="C25" s="96"/>
      <c r="D25" s="96"/>
      <c r="E25" s="96"/>
      <c r="F25" s="96"/>
      <c r="G25" s="96"/>
      <c r="H25" s="151"/>
      <c r="I25" s="104"/>
      <c r="J25" s="96"/>
      <c r="K25" s="96"/>
      <c r="L25" s="96"/>
      <c r="M25" s="96"/>
      <c r="N25" s="96"/>
      <c r="O25" s="151"/>
      <c r="P25" s="104"/>
      <c r="Q25" s="96"/>
      <c r="R25" s="96"/>
      <c r="S25" s="96"/>
      <c r="T25" s="96"/>
      <c r="U25" s="96"/>
      <c r="V25" s="151"/>
      <c r="W25" s="195"/>
    </row>
    <row r="26" spans="1:37">
      <c r="A26" s="153"/>
      <c r="B26" s="154" t="s">
        <v>177</v>
      </c>
      <c r="C26" s="89"/>
      <c r="D26" s="89"/>
      <c r="E26" s="89"/>
      <c r="F26" s="89"/>
      <c r="G26" s="89"/>
      <c r="H26" s="155"/>
      <c r="I26" s="154" t="s">
        <v>178</v>
      </c>
      <c r="J26" s="89"/>
      <c r="K26" s="89"/>
      <c r="L26" s="89"/>
      <c r="M26" s="89"/>
      <c r="N26" s="89"/>
      <c r="O26" s="155"/>
      <c r="P26" s="154" t="s">
        <v>179</v>
      </c>
      <c r="Q26" s="89"/>
      <c r="R26" s="89"/>
      <c r="S26" s="89"/>
      <c r="T26" s="89"/>
      <c r="U26" s="89"/>
      <c r="V26" s="155"/>
      <c r="W26" s="195"/>
    </row>
    <row r="27" spans="1:37">
      <c r="A27" s="156" t="s">
        <v>128</v>
      </c>
      <c r="B27" s="157" t="s">
        <v>0</v>
      </c>
      <c r="C27" s="160" t="s">
        <v>506</v>
      </c>
      <c r="D27" s="159" t="s">
        <v>949</v>
      </c>
      <c r="E27" s="160" t="s">
        <v>508</v>
      </c>
      <c r="F27" s="159" t="s">
        <v>950</v>
      </c>
      <c r="G27" s="160" t="s">
        <v>509</v>
      </c>
      <c r="H27" s="161" t="s">
        <v>951</v>
      </c>
      <c r="I27" s="157" t="s">
        <v>0</v>
      </c>
      <c r="J27" s="160" t="s">
        <v>506</v>
      </c>
      <c r="K27" s="159" t="s">
        <v>949</v>
      </c>
      <c r="L27" s="160" t="s">
        <v>508</v>
      </c>
      <c r="M27" s="159" t="s">
        <v>950</v>
      </c>
      <c r="N27" s="160" t="s">
        <v>509</v>
      </c>
      <c r="O27" s="161" t="s">
        <v>951</v>
      </c>
      <c r="P27" s="157" t="s">
        <v>0</v>
      </c>
      <c r="Q27" s="160" t="s">
        <v>506</v>
      </c>
      <c r="R27" s="159" t="s">
        <v>949</v>
      </c>
      <c r="S27" s="160" t="s">
        <v>508</v>
      </c>
      <c r="T27" s="159" t="s">
        <v>950</v>
      </c>
      <c r="U27" s="160" t="s">
        <v>509</v>
      </c>
      <c r="V27" s="161" t="s">
        <v>951</v>
      </c>
      <c r="W27" s="196"/>
    </row>
    <row r="28" spans="1:37">
      <c r="A28" s="163" t="s">
        <v>130</v>
      </c>
      <c r="B28" s="164">
        <v>7921</v>
      </c>
      <c r="C28" s="126">
        <v>8198</v>
      </c>
      <c r="D28" s="144" t="s">
        <v>305</v>
      </c>
      <c r="E28" s="122">
        <v>8017</v>
      </c>
      <c r="F28" s="204" t="s">
        <v>926</v>
      </c>
      <c r="G28" s="122">
        <v>8046</v>
      </c>
      <c r="H28" s="128" t="s">
        <v>955</v>
      </c>
      <c r="I28" s="164">
        <v>7396</v>
      </c>
      <c r="J28" s="126">
        <v>7435</v>
      </c>
      <c r="K28" s="144" t="s">
        <v>740</v>
      </c>
      <c r="L28" s="122">
        <v>7797</v>
      </c>
      <c r="M28" s="204" t="s">
        <v>635</v>
      </c>
      <c r="N28" s="122">
        <v>7627</v>
      </c>
      <c r="O28" s="128" t="s">
        <v>988</v>
      </c>
      <c r="P28" s="164">
        <v>7454</v>
      </c>
      <c r="Q28" s="126">
        <v>8167</v>
      </c>
      <c r="R28" s="144" t="s">
        <v>258</v>
      </c>
      <c r="S28" s="122">
        <v>7491</v>
      </c>
      <c r="T28" s="204" t="s">
        <v>1046</v>
      </c>
      <c r="U28" s="122" t="s">
        <v>1047</v>
      </c>
      <c r="V28" s="128" t="s">
        <v>478</v>
      </c>
      <c r="W28" s="205">
        <v>8209</v>
      </c>
    </row>
    <row r="29" spans="1:37">
      <c r="A29" s="163" t="s">
        <v>497</v>
      </c>
      <c r="B29" s="164">
        <v>-4884</v>
      </c>
      <c r="C29" s="126">
        <v>-4765</v>
      </c>
      <c r="D29" s="144" t="s">
        <v>360</v>
      </c>
      <c r="E29" s="122" t="s">
        <v>1048</v>
      </c>
      <c r="F29" s="171" t="s">
        <v>267</v>
      </c>
      <c r="G29" s="122">
        <v>-4901</v>
      </c>
      <c r="H29" s="128" t="s">
        <v>245</v>
      </c>
      <c r="I29" s="164">
        <v>-5065</v>
      </c>
      <c r="J29" s="126">
        <v>-5064</v>
      </c>
      <c r="K29" s="144" t="s">
        <v>433</v>
      </c>
      <c r="L29" s="122">
        <v>-5049</v>
      </c>
      <c r="M29" s="171" t="s">
        <v>372</v>
      </c>
      <c r="N29" s="122">
        <v>-4928</v>
      </c>
      <c r="O29" s="128" t="s">
        <v>367</v>
      </c>
      <c r="P29" s="164">
        <v>-5136</v>
      </c>
      <c r="Q29" s="126" t="s">
        <v>742</v>
      </c>
      <c r="R29" s="144" t="s">
        <v>266</v>
      </c>
      <c r="S29" s="122">
        <v>-5164</v>
      </c>
      <c r="T29" s="171" t="s">
        <v>405</v>
      </c>
      <c r="U29" s="122">
        <v>-5036</v>
      </c>
      <c r="V29" s="128" t="s">
        <v>940</v>
      </c>
      <c r="W29" s="76" t="s">
        <v>550</v>
      </c>
    </row>
    <row r="30" spans="1:37">
      <c r="A30" s="163" t="s">
        <v>551</v>
      </c>
      <c r="B30" s="167" t="s">
        <v>745</v>
      </c>
      <c r="C30" s="75" t="s">
        <v>11</v>
      </c>
      <c r="D30" s="144" t="s">
        <v>303</v>
      </c>
      <c r="E30" s="122" t="s">
        <v>878</v>
      </c>
      <c r="F30" s="171" t="s">
        <v>1049</v>
      </c>
      <c r="G30" s="83" t="s">
        <v>737</v>
      </c>
      <c r="H30" s="128" t="s">
        <v>1049</v>
      </c>
      <c r="I30" s="167" t="s">
        <v>85</v>
      </c>
      <c r="J30" s="75" t="s">
        <v>556</v>
      </c>
      <c r="K30" s="144" t="s">
        <v>435</v>
      </c>
      <c r="L30" s="122" t="s">
        <v>588</v>
      </c>
      <c r="M30" s="171" t="s">
        <v>1007</v>
      </c>
      <c r="N30" s="122" t="s">
        <v>53</v>
      </c>
      <c r="O30" s="128" t="s">
        <v>548</v>
      </c>
      <c r="P30" s="167" t="s">
        <v>26</v>
      </c>
      <c r="Q30" s="75" t="s">
        <v>746</v>
      </c>
      <c r="R30" s="144" t="s">
        <v>248</v>
      </c>
      <c r="S30" s="83" t="s">
        <v>590</v>
      </c>
      <c r="T30" s="171" t="s">
        <v>713</v>
      </c>
      <c r="U30" s="122" t="s">
        <v>838</v>
      </c>
      <c r="V30" s="128" t="s">
        <v>735</v>
      </c>
      <c r="W30" s="76" t="s">
        <v>11</v>
      </c>
    </row>
    <row r="31" spans="1:37">
      <c r="A31" s="163" t="s">
        <v>132</v>
      </c>
      <c r="B31" s="167" t="s">
        <v>7</v>
      </c>
      <c r="C31" s="75" t="s">
        <v>750</v>
      </c>
      <c r="D31" s="168" t="s">
        <v>468</v>
      </c>
      <c r="E31" s="83" t="s">
        <v>1050</v>
      </c>
      <c r="F31" s="171" t="s">
        <v>301</v>
      </c>
      <c r="G31" s="83" t="s">
        <v>907</v>
      </c>
      <c r="H31" s="128" t="s">
        <v>702</v>
      </c>
      <c r="I31" s="167" t="s">
        <v>751</v>
      </c>
      <c r="J31" s="75" t="s">
        <v>752</v>
      </c>
      <c r="K31" s="144" t="s">
        <v>280</v>
      </c>
      <c r="L31" s="83" t="s">
        <v>807</v>
      </c>
      <c r="M31" s="171" t="s">
        <v>361</v>
      </c>
      <c r="N31" s="83" t="s">
        <v>1051</v>
      </c>
      <c r="O31" s="128" t="s">
        <v>236</v>
      </c>
      <c r="P31" s="167" t="s">
        <v>752</v>
      </c>
      <c r="Q31" s="75" t="s">
        <v>753</v>
      </c>
      <c r="R31" s="168">
        <v>0</v>
      </c>
      <c r="S31" s="83" t="s">
        <v>807</v>
      </c>
      <c r="T31" s="171" t="s">
        <v>279</v>
      </c>
      <c r="U31" s="83" t="s">
        <v>1052</v>
      </c>
      <c r="V31" s="128" t="s">
        <v>885</v>
      </c>
      <c r="W31" s="76" t="s">
        <v>29</v>
      </c>
    </row>
    <row r="32" spans="1:37">
      <c r="A32" s="163" t="s">
        <v>133</v>
      </c>
      <c r="B32" s="167" t="s">
        <v>758</v>
      </c>
      <c r="C32" s="75" t="s">
        <v>641</v>
      </c>
      <c r="D32" s="144" t="s">
        <v>256</v>
      </c>
      <c r="E32" s="83" t="s">
        <v>818</v>
      </c>
      <c r="F32" s="171" t="s">
        <v>361</v>
      </c>
      <c r="G32" s="83" t="s">
        <v>993</v>
      </c>
      <c r="H32" s="128" t="s">
        <v>578</v>
      </c>
      <c r="I32" s="167" t="s">
        <v>695</v>
      </c>
      <c r="J32" s="75" t="s">
        <v>759</v>
      </c>
      <c r="K32" s="168" t="s">
        <v>375</v>
      </c>
      <c r="L32" s="83" t="s">
        <v>883</v>
      </c>
      <c r="M32" s="171" t="s">
        <v>236</v>
      </c>
      <c r="N32" s="83" t="s">
        <v>1053</v>
      </c>
      <c r="O32" s="135">
        <v>0.05</v>
      </c>
      <c r="P32" s="167" t="s">
        <v>727</v>
      </c>
      <c r="Q32" s="75" t="s">
        <v>40</v>
      </c>
      <c r="R32" s="144" t="s">
        <v>425</v>
      </c>
      <c r="S32" s="83" t="s">
        <v>727</v>
      </c>
      <c r="T32" s="171" t="s">
        <v>705</v>
      </c>
      <c r="U32" s="83" t="s">
        <v>748</v>
      </c>
      <c r="V32" s="128" t="s">
        <v>467</v>
      </c>
      <c r="W32" s="76" t="s">
        <v>30</v>
      </c>
    </row>
    <row r="33" spans="1:35">
      <c r="A33" s="163" t="s">
        <v>134</v>
      </c>
      <c r="B33" s="167" t="s">
        <v>743</v>
      </c>
      <c r="C33" s="75" t="s">
        <v>81</v>
      </c>
      <c r="D33" s="144" t="s">
        <v>413</v>
      </c>
      <c r="E33" s="83" t="s">
        <v>36</v>
      </c>
      <c r="F33" s="171" t="s">
        <v>632</v>
      </c>
      <c r="G33" s="83" t="s">
        <v>27</v>
      </c>
      <c r="H33" s="128" t="s">
        <v>473</v>
      </c>
      <c r="I33" s="167" t="s">
        <v>106</v>
      </c>
      <c r="J33" s="75" t="s">
        <v>607</v>
      </c>
      <c r="K33" s="144" t="s">
        <v>385</v>
      </c>
      <c r="L33" s="83" t="s">
        <v>784</v>
      </c>
      <c r="M33" s="171" t="s">
        <v>249</v>
      </c>
      <c r="N33" s="83" t="s">
        <v>850</v>
      </c>
      <c r="O33" s="128" t="s">
        <v>361</v>
      </c>
      <c r="P33" s="167" t="s">
        <v>99</v>
      </c>
      <c r="Q33" s="75" t="s">
        <v>41</v>
      </c>
      <c r="R33" s="144" t="s">
        <v>761</v>
      </c>
      <c r="S33" s="83" t="s">
        <v>710</v>
      </c>
      <c r="T33" s="171" t="s">
        <v>230</v>
      </c>
      <c r="U33" s="83" t="s">
        <v>47</v>
      </c>
      <c r="V33" s="135">
        <v>0</v>
      </c>
      <c r="W33" s="76" t="s">
        <v>31</v>
      </c>
    </row>
    <row r="34" spans="1:35">
      <c r="A34" s="163" t="s">
        <v>135</v>
      </c>
      <c r="B34" s="167" t="s">
        <v>17</v>
      </c>
      <c r="C34" s="75" t="s">
        <v>656</v>
      </c>
      <c r="D34" s="168" t="s">
        <v>575</v>
      </c>
      <c r="E34" s="83" t="s">
        <v>746</v>
      </c>
      <c r="F34" s="172">
        <v>0</v>
      </c>
      <c r="G34" s="122" t="s">
        <v>689</v>
      </c>
      <c r="H34" s="128" t="s">
        <v>399</v>
      </c>
      <c r="I34" s="167" t="s">
        <v>27</v>
      </c>
      <c r="J34" s="75" t="s">
        <v>640</v>
      </c>
      <c r="K34" s="168">
        <v>0</v>
      </c>
      <c r="L34" s="83" t="s">
        <v>118</v>
      </c>
      <c r="M34" s="171" t="s">
        <v>434</v>
      </c>
      <c r="N34" s="83" t="s">
        <v>1013</v>
      </c>
      <c r="O34" s="128" t="s">
        <v>458</v>
      </c>
      <c r="P34" s="167" t="s">
        <v>42</v>
      </c>
      <c r="Q34" s="75" t="s">
        <v>653</v>
      </c>
      <c r="R34" s="144" t="s">
        <v>658</v>
      </c>
      <c r="S34" s="83" t="s">
        <v>709</v>
      </c>
      <c r="T34" s="171" t="s">
        <v>385</v>
      </c>
      <c r="U34" s="83" t="s">
        <v>49</v>
      </c>
      <c r="V34" s="128" t="s">
        <v>405</v>
      </c>
      <c r="W34" s="76" t="s">
        <v>32</v>
      </c>
    </row>
    <row r="35" spans="1:35">
      <c r="A35" s="163" t="s">
        <v>136</v>
      </c>
      <c r="B35" s="167" t="s">
        <v>763</v>
      </c>
      <c r="C35" s="126" t="s">
        <v>765</v>
      </c>
      <c r="D35" s="144" t="s">
        <v>279</v>
      </c>
      <c r="E35" s="122" t="s">
        <v>1054</v>
      </c>
      <c r="F35" s="171" t="s">
        <v>407</v>
      </c>
      <c r="G35" s="122" t="s">
        <v>1055</v>
      </c>
      <c r="H35" s="128" t="s">
        <v>244</v>
      </c>
      <c r="I35" s="167" t="s">
        <v>763</v>
      </c>
      <c r="J35" s="126" t="s">
        <v>766</v>
      </c>
      <c r="K35" s="144" t="s">
        <v>244</v>
      </c>
      <c r="L35" s="122" t="s">
        <v>1056</v>
      </c>
      <c r="M35" s="171" t="s">
        <v>303</v>
      </c>
      <c r="N35" s="122" t="s">
        <v>1057</v>
      </c>
      <c r="O35" s="128" t="s">
        <v>296</v>
      </c>
      <c r="P35" s="167" t="s">
        <v>763</v>
      </c>
      <c r="Q35" s="75" t="s">
        <v>767</v>
      </c>
      <c r="R35" s="144" t="s">
        <v>474</v>
      </c>
      <c r="S35" s="83" t="s">
        <v>1058</v>
      </c>
      <c r="T35" s="172">
        <v>0.06</v>
      </c>
      <c r="U35" s="122" t="s">
        <v>1059</v>
      </c>
      <c r="V35" s="128" t="s">
        <v>278</v>
      </c>
      <c r="W35" s="145">
        <v>1044</v>
      </c>
    </row>
    <row r="36" spans="1:35">
      <c r="A36" s="163" t="s">
        <v>498</v>
      </c>
      <c r="B36" s="164" t="s">
        <v>769</v>
      </c>
      <c r="C36" s="126">
        <v>11895</v>
      </c>
      <c r="D36" s="168">
        <v>7.0000000000000007E-2</v>
      </c>
      <c r="E36" s="122">
        <v>11863</v>
      </c>
      <c r="F36" s="172">
        <v>0.06</v>
      </c>
      <c r="G36" s="122">
        <v>11855</v>
      </c>
      <c r="H36" s="128" t="s">
        <v>422</v>
      </c>
      <c r="I36" s="164">
        <v>11463</v>
      </c>
      <c r="J36" s="126">
        <v>11486</v>
      </c>
      <c r="K36" s="144" t="s">
        <v>471</v>
      </c>
      <c r="L36" s="122">
        <v>11772</v>
      </c>
      <c r="M36" s="171" t="s">
        <v>296</v>
      </c>
      <c r="N36" s="122">
        <v>11604</v>
      </c>
      <c r="O36" s="128" t="s">
        <v>468</v>
      </c>
      <c r="P36" s="164">
        <v>11631</v>
      </c>
      <c r="Q36" s="75">
        <v>11825</v>
      </c>
      <c r="R36" s="144" t="s">
        <v>232</v>
      </c>
      <c r="S36" s="122">
        <v>11667</v>
      </c>
      <c r="T36" s="172">
        <v>7.0000000000000007E-2</v>
      </c>
      <c r="U36" s="122">
        <v>11904</v>
      </c>
      <c r="V36" s="128" t="s">
        <v>244</v>
      </c>
      <c r="W36" s="145">
        <v>11827</v>
      </c>
    </row>
    <row r="37" spans="1:35">
      <c r="A37" s="163" t="s">
        <v>137</v>
      </c>
      <c r="B37" s="167" t="s">
        <v>776</v>
      </c>
      <c r="C37" s="75" t="s">
        <v>777</v>
      </c>
      <c r="D37" s="144" t="s">
        <v>662</v>
      </c>
      <c r="E37" s="122" t="s">
        <v>763</v>
      </c>
      <c r="F37" s="172">
        <v>0</v>
      </c>
      <c r="G37" s="83" t="s">
        <v>777</v>
      </c>
      <c r="H37" s="128" t="s">
        <v>265</v>
      </c>
      <c r="I37" s="167" t="s">
        <v>772</v>
      </c>
      <c r="J37" s="75" t="s">
        <v>778</v>
      </c>
      <c r="K37" s="168">
        <v>0.01</v>
      </c>
      <c r="L37" s="122" t="s">
        <v>1060</v>
      </c>
      <c r="M37" s="171" t="s">
        <v>632</v>
      </c>
      <c r="N37" s="122" t="s">
        <v>1061</v>
      </c>
      <c r="O37" s="128" t="s">
        <v>302</v>
      </c>
      <c r="P37" s="167" t="s">
        <v>779</v>
      </c>
      <c r="Q37" s="75" t="s">
        <v>780</v>
      </c>
      <c r="R37" s="168">
        <v>0.14000000000000001</v>
      </c>
      <c r="S37" s="83" t="s">
        <v>1062</v>
      </c>
      <c r="T37" s="171" t="s">
        <v>385</v>
      </c>
      <c r="U37" s="122" t="s">
        <v>1063</v>
      </c>
      <c r="V37" s="128" t="s">
        <v>265</v>
      </c>
      <c r="W37" s="76" t="s">
        <v>33</v>
      </c>
    </row>
    <row r="38" spans="1:35">
      <c r="A38" s="163" t="s">
        <v>138</v>
      </c>
      <c r="B38" s="167" t="s">
        <v>105</v>
      </c>
      <c r="C38" s="75" t="s">
        <v>12</v>
      </c>
      <c r="D38" s="144" t="s">
        <v>240</v>
      </c>
      <c r="E38" s="83" t="s">
        <v>47</v>
      </c>
      <c r="F38" s="171" t="s">
        <v>296</v>
      </c>
      <c r="G38" s="122" t="s">
        <v>620</v>
      </c>
      <c r="H38" s="128" t="s">
        <v>434</v>
      </c>
      <c r="I38" s="167" t="s">
        <v>784</v>
      </c>
      <c r="J38" s="75" t="s">
        <v>36</v>
      </c>
      <c r="K38" s="168" t="s">
        <v>474</v>
      </c>
      <c r="L38" s="83" t="s">
        <v>581</v>
      </c>
      <c r="M38" s="172">
        <v>0</v>
      </c>
      <c r="N38" s="83" t="s">
        <v>616</v>
      </c>
      <c r="O38" s="128" t="s">
        <v>399</v>
      </c>
      <c r="P38" s="167" t="s">
        <v>607</v>
      </c>
      <c r="Q38" s="75" t="s">
        <v>98</v>
      </c>
      <c r="R38" s="144" t="s">
        <v>405</v>
      </c>
      <c r="S38" s="83" t="s">
        <v>781</v>
      </c>
      <c r="T38" s="171" t="s">
        <v>259</v>
      </c>
      <c r="U38" s="83" t="s">
        <v>616</v>
      </c>
      <c r="V38" s="128" t="s">
        <v>376</v>
      </c>
      <c r="W38" s="76" t="s">
        <v>34</v>
      </c>
    </row>
    <row r="39" spans="1:35">
      <c r="A39" s="163" t="s">
        <v>139</v>
      </c>
      <c r="B39" s="164">
        <v>3516</v>
      </c>
      <c r="C39" s="126">
        <v>3589</v>
      </c>
      <c r="D39" s="144" t="s">
        <v>261</v>
      </c>
      <c r="E39" s="122" t="s">
        <v>1064</v>
      </c>
      <c r="F39" s="171" t="s">
        <v>238</v>
      </c>
      <c r="G39" s="122">
        <v>3491</v>
      </c>
      <c r="H39" s="128" t="s">
        <v>236</v>
      </c>
      <c r="I39" s="164">
        <v>3762</v>
      </c>
      <c r="J39" s="126">
        <v>3657</v>
      </c>
      <c r="K39" s="168" t="s">
        <v>240</v>
      </c>
      <c r="L39" s="122">
        <v>3726</v>
      </c>
      <c r="M39" s="172">
        <v>0.08</v>
      </c>
      <c r="N39" s="122">
        <v>3748</v>
      </c>
      <c r="O39" s="128" t="s">
        <v>274</v>
      </c>
      <c r="P39" s="164">
        <v>3584</v>
      </c>
      <c r="Q39" s="126">
        <v>3622</v>
      </c>
      <c r="R39" s="168">
        <v>0.04</v>
      </c>
      <c r="S39" s="122">
        <v>3578</v>
      </c>
      <c r="T39" s="171" t="s">
        <v>468</v>
      </c>
      <c r="U39" s="122">
        <v>3579</v>
      </c>
      <c r="V39" s="128" t="s">
        <v>786</v>
      </c>
      <c r="W39" s="145">
        <v>3568</v>
      </c>
    </row>
    <row r="40" spans="1:35">
      <c r="A40" s="163" t="s">
        <v>140</v>
      </c>
      <c r="B40" s="167" t="s">
        <v>98</v>
      </c>
      <c r="C40" s="75" t="s">
        <v>19</v>
      </c>
      <c r="D40" s="144" t="s">
        <v>408</v>
      </c>
      <c r="E40" s="75" t="s">
        <v>970</v>
      </c>
      <c r="F40" s="171" t="s">
        <v>970</v>
      </c>
      <c r="G40" s="83" t="s">
        <v>970</v>
      </c>
      <c r="H40" s="128" t="s">
        <v>970</v>
      </c>
      <c r="I40" s="167" t="s">
        <v>552</v>
      </c>
      <c r="J40" s="75" t="s">
        <v>552</v>
      </c>
      <c r="K40" s="144" t="s">
        <v>245</v>
      </c>
      <c r="L40" s="75" t="s">
        <v>970</v>
      </c>
      <c r="M40" s="171" t="s">
        <v>970</v>
      </c>
      <c r="N40" s="75" t="s">
        <v>970</v>
      </c>
      <c r="O40" s="128" t="s">
        <v>970</v>
      </c>
      <c r="P40" s="167" t="s">
        <v>792</v>
      </c>
      <c r="Q40" s="75" t="s">
        <v>793</v>
      </c>
      <c r="R40" s="144" t="s">
        <v>470</v>
      </c>
      <c r="S40" s="75" t="s">
        <v>970</v>
      </c>
      <c r="T40" s="171" t="s">
        <v>970</v>
      </c>
      <c r="U40" s="83" t="s">
        <v>970</v>
      </c>
      <c r="V40" s="128" t="s">
        <v>970</v>
      </c>
      <c r="W40" s="76" t="s">
        <v>35</v>
      </c>
    </row>
    <row r="41" spans="1:35">
      <c r="A41" s="163" t="s">
        <v>141</v>
      </c>
      <c r="B41" s="167" t="s">
        <v>89</v>
      </c>
      <c r="C41" s="75" t="s">
        <v>39</v>
      </c>
      <c r="D41" s="144" t="s">
        <v>795</v>
      </c>
      <c r="E41" s="75" t="s">
        <v>970</v>
      </c>
      <c r="F41" s="171" t="s">
        <v>970</v>
      </c>
      <c r="G41" s="83" t="s">
        <v>970</v>
      </c>
      <c r="H41" s="128" t="s">
        <v>970</v>
      </c>
      <c r="I41" s="167" t="s">
        <v>651</v>
      </c>
      <c r="J41" s="75" t="s">
        <v>577</v>
      </c>
      <c r="K41" s="144" t="s">
        <v>265</v>
      </c>
      <c r="L41" s="75" t="s">
        <v>970</v>
      </c>
      <c r="M41" s="171" t="s">
        <v>970</v>
      </c>
      <c r="N41" s="75" t="s">
        <v>970</v>
      </c>
      <c r="O41" s="128" t="s">
        <v>970</v>
      </c>
      <c r="P41" s="167" t="s">
        <v>687</v>
      </c>
      <c r="Q41" s="75" t="s">
        <v>652</v>
      </c>
      <c r="R41" s="144" t="s">
        <v>416</v>
      </c>
      <c r="S41" s="75" t="s">
        <v>970</v>
      </c>
      <c r="T41" s="171" t="s">
        <v>970</v>
      </c>
      <c r="U41" s="83" t="s">
        <v>970</v>
      </c>
      <c r="V41" s="128" t="s">
        <v>970</v>
      </c>
      <c r="W41" s="76" t="s">
        <v>36</v>
      </c>
    </row>
    <row r="42" spans="1:35">
      <c r="A42" s="163" t="s">
        <v>142</v>
      </c>
      <c r="B42" s="167" t="s">
        <v>797</v>
      </c>
      <c r="C42" s="75" t="s">
        <v>641</v>
      </c>
      <c r="D42" s="168" t="s">
        <v>235</v>
      </c>
      <c r="E42" s="75" t="s">
        <v>970</v>
      </c>
      <c r="F42" s="172" t="s">
        <v>970</v>
      </c>
      <c r="G42" s="83" t="s">
        <v>970</v>
      </c>
      <c r="H42" s="135" t="s">
        <v>970</v>
      </c>
      <c r="I42" s="167" t="s">
        <v>589</v>
      </c>
      <c r="J42" s="75" t="s">
        <v>110</v>
      </c>
      <c r="K42" s="168">
        <v>0.01</v>
      </c>
      <c r="L42" s="75" t="s">
        <v>970</v>
      </c>
      <c r="M42" s="172" t="s">
        <v>970</v>
      </c>
      <c r="N42" s="75" t="s">
        <v>970</v>
      </c>
      <c r="O42" s="135" t="s">
        <v>970</v>
      </c>
      <c r="P42" s="167" t="s">
        <v>798</v>
      </c>
      <c r="Q42" s="75" t="s">
        <v>641</v>
      </c>
      <c r="R42" s="144" t="s">
        <v>254</v>
      </c>
      <c r="S42" s="75" t="s">
        <v>970</v>
      </c>
      <c r="T42" s="171" t="s">
        <v>970</v>
      </c>
      <c r="U42" s="75" t="s">
        <v>970</v>
      </c>
      <c r="V42" s="135" t="s">
        <v>970</v>
      </c>
      <c r="W42" s="76" t="s">
        <v>38</v>
      </c>
    </row>
    <row r="43" spans="1:35">
      <c r="A43" s="163" t="s">
        <v>1031</v>
      </c>
      <c r="B43" s="167" t="s">
        <v>850</v>
      </c>
      <c r="C43" s="75" t="s">
        <v>970</v>
      </c>
      <c r="D43" s="168" t="s">
        <v>970</v>
      </c>
      <c r="E43" s="83" t="s">
        <v>87</v>
      </c>
      <c r="F43" s="171" t="s">
        <v>692</v>
      </c>
      <c r="G43" s="83" t="s">
        <v>970</v>
      </c>
      <c r="H43" s="135" t="s">
        <v>970</v>
      </c>
      <c r="I43" s="167" t="s">
        <v>552</v>
      </c>
      <c r="J43" s="75" t="s">
        <v>970</v>
      </c>
      <c r="K43" s="144" t="s">
        <v>970</v>
      </c>
      <c r="L43" s="122" t="s">
        <v>854</v>
      </c>
      <c r="M43" s="199" t="s">
        <v>250</v>
      </c>
      <c r="N43" s="75" t="s">
        <v>970</v>
      </c>
      <c r="O43" s="135" t="s">
        <v>970</v>
      </c>
      <c r="P43" s="125" t="s">
        <v>684</v>
      </c>
      <c r="Q43" s="75" t="s">
        <v>970</v>
      </c>
      <c r="R43" s="144" t="s">
        <v>970</v>
      </c>
      <c r="S43" s="83" t="s">
        <v>651</v>
      </c>
      <c r="T43" s="199" t="s">
        <v>299</v>
      </c>
      <c r="U43" s="75" t="s">
        <v>970</v>
      </c>
      <c r="V43" s="135" t="s">
        <v>970</v>
      </c>
      <c r="W43" s="76" t="s">
        <v>1033</v>
      </c>
    </row>
    <row r="44" spans="1:35" ht="17" thickBot="1">
      <c r="A44" s="206" t="s">
        <v>1034</v>
      </c>
      <c r="B44" s="185" t="s">
        <v>745</v>
      </c>
      <c r="C44" s="77" t="s">
        <v>970</v>
      </c>
      <c r="D44" s="216" t="s">
        <v>970</v>
      </c>
      <c r="E44" s="83" t="s">
        <v>92</v>
      </c>
      <c r="F44" s="199" t="s">
        <v>261</v>
      </c>
      <c r="G44" s="209" t="s">
        <v>970</v>
      </c>
      <c r="H44" s="142" t="s">
        <v>970</v>
      </c>
      <c r="I44" s="185" t="s">
        <v>41</v>
      </c>
      <c r="J44" s="77" t="s">
        <v>970</v>
      </c>
      <c r="K44" s="18" t="s">
        <v>970</v>
      </c>
      <c r="L44" s="83" t="s">
        <v>783</v>
      </c>
      <c r="M44" s="199" t="s">
        <v>885</v>
      </c>
      <c r="N44" s="209" t="s">
        <v>970</v>
      </c>
      <c r="O44" s="142" t="s">
        <v>970</v>
      </c>
      <c r="P44" s="124" t="s">
        <v>1065</v>
      </c>
      <c r="Q44" s="209" t="s">
        <v>970</v>
      </c>
      <c r="R44" s="207" t="s">
        <v>970</v>
      </c>
      <c r="S44" s="83" t="s">
        <v>1066</v>
      </c>
      <c r="T44" s="199" t="s">
        <v>244</v>
      </c>
      <c r="U44" s="209" t="s">
        <v>970</v>
      </c>
      <c r="V44" s="142" t="s">
        <v>970</v>
      </c>
      <c r="W44" s="76" t="s">
        <v>87</v>
      </c>
    </row>
    <row r="45" spans="1:35" s="83" customFormat="1" ht="17" thickTop="1" thickBot="1">
      <c r="A45" s="179" t="s">
        <v>973</v>
      </c>
      <c r="B45" s="212"/>
      <c r="C45" s="181" t="s">
        <v>1067</v>
      </c>
      <c r="D45" s="182"/>
      <c r="E45" s="181" t="s">
        <v>1038</v>
      </c>
      <c r="F45" s="182"/>
      <c r="G45" s="181" t="s">
        <v>1068</v>
      </c>
      <c r="H45" s="183"/>
      <c r="I45" s="212"/>
      <c r="J45" s="181" t="s">
        <v>1069</v>
      </c>
      <c r="K45" s="182"/>
      <c r="L45" s="181" t="s">
        <v>1039</v>
      </c>
      <c r="M45" s="182"/>
      <c r="N45" s="181" t="s">
        <v>1070</v>
      </c>
      <c r="O45" s="183"/>
      <c r="P45" s="212"/>
      <c r="Q45" s="181" t="s">
        <v>1071</v>
      </c>
      <c r="R45" s="182"/>
      <c r="S45" s="181" t="s">
        <v>1072</v>
      </c>
      <c r="T45" s="182"/>
      <c r="U45" s="181" t="s">
        <v>1073</v>
      </c>
      <c r="V45" s="183"/>
      <c r="W45" s="79"/>
    </row>
    <row r="46" spans="1:35" s="83" customFormat="1" ht="15">
      <c r="N46" s="199"/>
      <c r="U46" s="199"/>
      <c r="AB46" s="199"/>
      <c r="AI46" s="199"/>
    </row>
    <row r="47" spans="1:35" s="83" customFormat="1" ht="15"/>
    <row r="48" spans="1:35" s="83" customFormat="1" ht="15"/>
    <row r="49" s="83" customFormat="1" ht="15"/>
    <row r="50" s="83" customFormat="1" ht="15"/>
    <row r="51" s="83" customFormat="1" ht="15"/>
    <row r="52" s="83" customFormat="1" ht="15"/>
    <row r="53" s="83" customFormat="1" ht="15"/>
    <row r="54" s="83" customFormat="1" ht="15"/>
    <row r="55" s="83" customFormat="1" ht="15"/>
    <row r="56" s="83" customFormat="1" ht="15"/>
    <row r="57" s="83" customFormat="1" ht="15"/>
    <row r="58" s="83" customFormat="1" ht="15"/>
    <row r="59" s="83" customFormat="1" ht="15"/>
    <row r="60" s="83" customFormat="1" ht="15"/>
    <row r="61" s="83" customFormat="1" ht="15"/>
    <row r="62" s="83" customFormat="1" ht="15"/>
    <row r="63" s="83" customFormat="1" ht="15"/>
    <row r="64" s="83" customFormat="1" ht="15"/>
    <row r="65" s="83" customFormat="1" ht="15"/>
    <row r="66" s="83" customFormat="1" ht="15"/>
    <row r="67" s="83" customFormat="1" ht="15"/>
    <row r="68" s="83" customFormat="1" ht="15"/>
    <row r="69" s="83" customFormat="1" ht="15"/>
    <row r="70" s="83" customFormat="1" ht="15"/>
    <row r="71" s="83" customFormat="1" ht="15"/>
    <row r="72" s="83" customFormat="1" ht="15"/>
    <row r="73" s="83" customFormat="1" ht="15"/>
    <row r="74" s="83" customFormat="1" ht="15"/>
    <row r="75" s="83" customFormat="1" ht="15"/>
    <row r="76" s="83" customFormat="1" ht="15"/>
    <row r="77" s="83" customFormat="1" ht="15"/>
    <row r="78" s="83" customFormat="1" ht="15"/>
    <row r="79" s="83" customFormat="1" ht="15"/>
    <row r="80" s="83" customFormat="1" ht="15"/>
    <row r="81" s="83" customFormat="1" ht="15"/>
    <row r="82" s="83" customFormat="1" ht="15"/>
    <row r="83" s="83" customFormat="1" ht="15"/>
    <row r="84" s="83" customFormat="1" ht="15"/>
    <row r="85" s="83" customFormat="1" ht="15"/>
    <row r="86" s="83" customFormat="1" ht="15"/>
    <row r="87" s="83" customFormat="1" ht="15"/>
    <row r="88" s="83" customFormat="1" ht="15"/>
    <row r="89" s="83" customFormat="1" ht="15"/>
    <row r="90" s="83" customFormat="1" ht="15"/>
    <row r="91" s="83" customFormat="1" ht="15"/>
    <row r="92" s="83" customFormat="1" ht="15"/>
    <row r="93" s="83" customFormat="1" ht="15"/>
    <row r="94" s="83" customFormat="1" ht="15"/>
    <row r="95" s="83" customFormat="1" ht="15"/>
    <row r="96" s="83" customFormat="1" ht="15"/>
    <row r="97" s="83" customFormat="1" ht="15"/>
    <row r="98" s="83" customFormat="1" ht="15"/>
    <row r="99" s="83" customFormat="1" ht="15"/>
    <row r="100" s="83" customFormat="1" ht="15"/>
    <row r="101" s="83" customFormat="1" ht="15"/>
    <row r="102" s="83" customFormat="1" ht="15"/>
    <row r="103" s="83" customFormat="1" ht="15"/>
    <row r="104" s="83" customFormat="1" ht="15"/>
    <row r="105" s="83" customFormat="1" ht="15"/>
    <row r="106" s="83" customFormat="1" ht="15"/>
    <row r="107" s="83" customFormat="1" ht="15"/>
    <row r="108" s="83" customFormat="1" ht="15"/>
    <row r="109" s="83" customFormat="1" ht="15"/>
    <row r="110" s="83" customFormat="1" ht="15"/>
    <row r="111" s="83" customFormat="1" ht="15"/>
    <row r="112" s="83" customFormat="1" ht="15"/>
    <row r="113" s="83" customFormat="1" ht="15"/>
    <row r="114" s="83" customFormat="1" ht="15"/>
    <row r="115" s="83" customFormat="1" ht="15"/>
    <row r="116" s="83" customFormat="1" ht="15"/>
    <row r="117" s="83" customFormat="1" ht="15"/>
    <row r="118" s="83" customFormat="1" ht="15"/>
    <row r="119" s="83" customFormat="1" ht="15"/>
    <row r="120" s="83" customFormat="1" ht="15"/>
    <row r="121" s="83" customFormat="1" ht="15"/>
    <row r="122" s="83" customFormat="1" ht="15"/>
    <row r="123" s="83" customFormat="1" ht="15"/>
    <row r="124" s="83" customFormat="1" ht="15"/>
    <row r="125" s="83" customFormat="1" ht="15"/>
    <row r="126" s="83" customFormat="1" ht="15"/>
    <row r="127" s="83" customFormat="1" ht="15"/>
    <row r="128" s="83" customFormat="1" ht="15"/>
    <row r="129" s="83" customFormat="1" ht="15"/>
    <row r="130" s="83" customFormat="1" ht="15"/>
    <row r="131" s="83" customFormat="1" ht="15"/>
    <row r="132" s="83" customFormat="1" ht="15"/>
    <row r="133" s="83" customFormat="1" ht="15"/>
    <row r="134" s="83" customFormat="1" ht="15"/>
    <row r="135" s="83" customFormat="1" ht="15"/>
    <row r="136" s="83" customFormat="1" ht="15"/>
    <row r="137" s="83" customFormat="1" ht="15"/>
    <row r="138" s="83" customFormat="1" ht="15"/>
    <row r="139" s="83" customFormat="1" ht="15"/>
    <row r="140" s="83" customFormat="1" ht="15"/>
    <row r="141" s="83" customFormat="1" ht="15"/>
    <row r="142" s="83" customFormat="1" ht="15"/>
    <row r="143" s="83" customFormat="1" ht="15"/>
    <row r="144" s="83" customFormat="1" ht="15"/>
    <row r="145" s="83" customFormat="1" ht="15"/>
    <row r="146" s="83" customFormat="1" ht="15"/>
    <row r="147" s="83" customFormat="1" ht="15"/>
    <row r="148" s="83" customFormat="1" ht="15"/>
    <row r="149" s="83" customFormat="1" ht="15"/>
    <row r="150" s="83" customFormat="1" ht="15"/>
    <row r="151" s="83" customFormat="1" ht="15"/>
    <row r="152" s="83" customFormat="1" ht="15"/>
    <row r="153" s="83" customFormat="1" ht="15"/>
    <row r="154" s="83" customFormat="1" ht="15"/>
    <row r="155" s="83" customFormat="1" ht="15"/>
    <row r="156" s="83" customFormat="1" ht="15"/>
    <row r="157" s="83" customFormat="1" ht="15"/>
    <row r="158" s="83" customFormat="1" ht="15"/>
    <row r="159" s="83" customFormat="1" ht="15"/>
    <row r="160" s="83" customFormat="1" ht="15"/>
    <row r="161" s="83" customFormat="1" ht="15"/>
    <row r="162" s="83" customFormat="1" ht="15"/>
    <row r="163" s="83" customFormat="1" ht="15"/>
    <row r="164" s="83" customFormat="1" ht="15"/>
    <row r="165" s="83" customFormat="1" ht="15"/>
    <row r="166" s="83" customFormat="1" ht="15"/>
    <row r="167" s="83" customFormat="1" ht="15"/>
    <row r="168" s="83" customFormat="1" ht="15"/>
    <row r="169" s="83" customFormat="1" ht="15"/>
    <row r="170" s="83" customFormat="1" ht="15"/>
    <row r="171" s="83" customFormat="1" ht="15"/>
    <row r="172" s="83" customFormat="1" ht="15"/>
    <row r="173" s="83" customFormat="1" ht="15"/>
    <row r="174" s="83" customFormat="1" ht="15"/>
    <row r="175" s="83" customFormat="1" ht="15"/>
    <row r="176" s="83" customFormat="1" ht="15"/>
    <row r="177" s="83" customFormat="1" ht="15"/>
    <row r="178" s="83" customFormat="1" ht="15"/>
    <row r="179" s="83" customFormat="1" ht="15"/>
    <row r="180" s="83" customFormat="1" ht="15"/>
    <row r="181" s="83" customFormat="1" ht="15"/>
    <row r="182" s="83" customFormat="1" ht="15"/>
    <row r="183" s="83" customFormat="1" ht="15"/>
    <row r="184" s="83" customFormat="1" ht="15"/>
    <row r="185" s="83" customFormat="1" ht="15"/>
    <row r="186" s="83" customFormat="1" ht="15"/>
    <row r="187" s="83" customFormat="1" ht="15"/>
    <row r="188" s="83" customFormat="1" ht="15"/>
    <row r="189" s="83" customFormat="1" ht="15"/>
    <row r="190" s="83" customFormat="1" ht="15"/>
    <row r="191" s="83" customFormat="1" ht="15"/>
    <row r="192" s="83" customFormat="1" ht="15"/>
    <row r="193" s="83" customFormat="1" ht="15"/>
    <row r="194" s="83" customFormat="1" ht="15"/>
    <row r="195" s="83" customFormat="1" ht="15"/>
    <row r="196" s="83" customFormat="1" ht="15"/>
    <row r="197" s="83" customFormat="1" ht="15"/>
    <row r="198" s="83" customFormat="1" ht="15"/>
    <row r="199" s="83" customFormat="1" ht="15"/>
    <row r="200" s="83" customFormat="1" ht="15"/>
    <row r="201" s="83" customFormat="1" ht="15"/>
    <row r="202" s="83" customFormat="1" ht="15"/>
    <row r="203" s="83" customFormat="1" ht="15"/>
    <row r="204" s="83" customFormat="1" ht="15"/>
    <row r="205" s="83" customFormat="1" ht="15"/>
    <row r="206" s="83" customFormat="1" ht="15"/>
    <row r="207" s="83" customFormat="1" ht="15"/>
    <row r="208" s="83" customFormat="1" ht="15"/>
    <row r="209" s="83" customFormat="1" ht="15"/>
    <row r="210" s="83" customFormat="1" ht="15"/>
    <row r="211" s="83" customFormat="1" ht="15"/>
    <row r="212" s="83" customFormat="1" ht="15"/>
    <row r="213" s="83" customFormat="1" ht="15"/>
    <row r="214" s="83" customFormat="1" ht="15"/>
  </sheetData>
  <mergeCells count="34">
    <mergeCell ref="Q45:R45"/>
    <mergeCell ref="S45:T45"/>
    <mergeCell ref="U45:V45"/>
    <mergeCell ref="W24:W27"/>
    <mergeCell ref="B26:H26"/>
    <mergeCell ref="I26:O26"/>
    <mergeCell ref="P26:V26"/>
    <mergeCell ref="C45:D45"/>
    <mergeCell ref="E45:F45"/>
    <mergeCell ref="G45:H45"/>
    <mergeCell ref="J45:K45"/>
    <mergeCell ref="L45:M45"/>
    <mergeCell ref="N45:O45"/>
    <mergeCell ref="Q22:R22"/>
    <mergeCell ref="S22:T22"/>
    <mergeCell ref="U22:V22"/>
    <mergeCell ref="A24:A26"/>
    <mergeCell ref="B24:H25"/>
    <mergeCell ref="I24:O25"/>
    <mergeCell ref="P24:V25"/>
    <mergeCell ref="C22:D22"/>
    <mergeCell ref="E22:F22"/>
    <mergeCell ref="G22:H22"/>
    <mergeCell ref="J22:K22"/>
    <mergeCell ref="L22:M22"/>
    <mergeCell ref="N22:O22"/>
    <mergeCell ref="A1:A3"/>
    <mergeCell ref="B1:H2"/>
    <mergeCell ref="I1:O2"/>
    <mergeCell ref="P1:V2"/>
    <mergeCell ref="W1:W4"/>
    <mergeCell ref="B3:H3"/>
    <mergeCell ref="I3:O3"/>
    <mergeCell ref="P3:V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81C8F-C0D5-604D-B007-32C7B7CA2F0B}">
  <dimension ref="A1:AK227"/>
  <sheetViews>
    <sheetView workbookViewId="0">
      <selection sqref="A1:XFD1048576"/>
    </sheetView>
  </sheetViews>
  <sheetFormatPr baseColWidth="10" defaultRowHeight="16"/>
  <cols>
    <col min="1" max="1" width="58.33203125" bestFit="1" customWidth="1"/>
    <col min="2" max="2" width="8.1640625" customWidth="1"/>
    <col min="3" max="3" width="8.1640625" bestFit="1" customWidth="1"/>
    <col min="4" max="4" width="9.33203125" bestFit="1" customWidth="1"/>
    <col min="5" max="5" width="8.1640625" customWidth="1"/>
    <col min="6" max="6" width="9.33203125" bestFit="1" customWidth="1"/>
    <col min="7" max="7" width="8.1640625" customWidth="1"/>
    <col min="8" max="8" width="9.33203125" bestFit="1" customWidth="1"/>
    <col min="9" max="10" width="8.1640625" customWidth="1"/>
    <col min="11" max="11" width="9.33203125" bestFit="1" customWidth="1"/>
    <col min="12" max="12" width="8.1640625" customWidth="1"/>
    <col min="13" max="13" width="9.33203125" bestFit="1" customWidth="1"/>
    <col min="14" max="14" width="8.1640625" bestFit="1" customWidth="1"/>
    <col min="15" max="15" width="9.33203125" bestFit="1" customWidth="1"/>
    <col min="16" max="17" width="8.1640625" bestFit="1" customWidth="1"/>
    <col min="18" max="18" width="9.33203125" bestFit="1" customWidth="1"/>
    <col min="19" max="19" width="8.1640625" customWidth="1"/>
    <col min="20" max="20" width="9.33203125" bestFit="1" customWidth="1"/>
    <col min="21" max="21" width="8.1640625" bestFit="1" customWidth="1"/>
    <col min="22" max="22" width="9.33203125" bestFit="1" customWidth="1"/>
    <col min="23" max="24" width="8.1640625" bestFit="1" customWidth="1"/>
    <col min="25" max="25" width="9.1640625" bestFit="1" customWidth="1"/>
    <col min="26" max="26" width="8.1640625" bestFit="1" customWidth="1"/>
    <col min="27" max="27" width="9.1640625" bestFit="1" customWidth="1"/>
    <col min="28" max="28" width="8.1640625" bestFit="1" customWidth="1"/>
    <col min="29" max="29" width="9.1640625" bestFit="1" customWidth="1"/>
    <col min="30" max="30" width="9.6640625" customWidth="1"/>
    <col min="31" max="31" width="8.1640625" bestFit="1" customWidth="1"/>
    <col min="32" max="32" width="9.1640625" bestFit="1" customWidth="1"/>
    <col min="33" max="33" width="8.1640625" bestFit="1" customWidth="1"/>
    <col min="34" max="34" width="9.1640625" bestFit="1" customWidth="1"/>
    <col min="35" max="35" width="8.1640625" bestFit="1" customWidth="1"/>
    <col min="36" max="36" width="9.1640625" bestFit="1" customWidth="1"/>
    <col min="37" max="37" width="11" customWidth="1"/>
  </cols>
  <sheetData>
    <row r="1" spans="1:23" ht="16" customHeight="1">
      <c r="A1" s="146" t="s">
        <v>70</v>
      </c>
      <c r="B1" s="217" t="s">
        <v>186</v>
      </c>
      <c r="C1" s="218"/>
      <c r="D1" s="218"/>
      <c r="E1" s="218"/>
      <c r="F1" s="218"/>
      <c r="G1" s="218"/>
      <c r="H1" s="219"/>
      <c r="I1" s="217" t="s">
        <v>187</v>
      </c>
      <c r="J1" s="218"/>
      <c r="K1" s="218"/>
      <c r="L1" s="218"/>
      <c r="M1" s="218"/>
      <c r="N1" s="218"/>
      <c r="O1" s="219"/>
      <c r="P1" s="217" t="s">
        <v>188</v>
      </c>
      <c r="Q1" s="218"/>
      <c r="R1" s="218"/>
      <c r="S1" s="218"/>
      <c r="T1" s="218"/>
      <c r="U1" s="218"/>
      <c r="V1" s="219"/>
      <c r="W1" s="194" t="s">
        <v>143</v>
      </c>
    </row>
    <row r="2" spans="1:23" ht="16" customHeight="1">
      <c r="A2" s="150"/>
      <c r="B2" s="220"/>
      <c r="C2" s="221"/>
      <c r="D2" s="221"/>
      <c r="E2" s="221"/>
      <c r="F2" s="221"/>
      <c r="G2" s="221"/>
      <c r="H2" s="222"/>
      <c r="I2" s="220"/>
      <c r="J2" s="221"/>
      <c r="K2" s="221"/>
      <c r="L2" s="221"/>
      <c r="M2" s="221"/>
      <c r="N2" s="221"/>
      <c r="O2" s="222"/>
      <c r="P2" s="220"/>
      <c r="Q2" s="221"/>
      <c r="R2" s="221"/>
      <c r="S2" s="221"/>
      <c r="T2" s="221"/>
      <c r="U2" s="221"/>
      <c r="V2" s="222"/>
      <c r="W2" s="195"/>
    </row>
    <row r="3" spans="1:23">
      <c r="A3" s="153"/>
      <c r="B3" s="154" t="s">
        <v>191</v>
      </c>
      <c r="C3" s="89"/>
      <c r="D3" s="89"/>
      <c r="E3" s="89"/>
      <c r="F3" s="89"/>
      <c r="G3" s="89"/>
      <c r="H3" s="155"/>
      <c r="I3" s="154" t="s">
        <v>192</v>
      </c>
      <c r="J3" s="89"/>
      <c r="K3" s="89"/>
      <c r="L3" s="89"/>
      <c r="M3" s="89"/>
      <c r="N3" s="89"/>
      <c r="O3" s="155"/>
      <c r="P3" s="154" t="s">
        <v>193</v>
      </c>
      <c r="Q3" s="89"/>
      <c r="R3" s="89"/>
      <c r="S3" s="89"/>
      <c r="T3" s="89"/>
      <c r="U3" s="89"/>
      <c r="V3" s="155"/>
      <c r="W3" s="195"/>
    </row>
    <row r="4" spans="1:23">
      <c r="A4" s="156" t="s">
        <v>128</v>
      </c>
      <c r="B4" s="157" t="s">
        <v>0</v>
      </c>
      <c r="C4" s="158" t="s">
        <v>506</v>
      </c>
      <c r="D4" s="159" t="s">
        <v>949</v>
      </c>
      <c r="E4" s="160" t="s">
        <v>508</v>
      </c>
      <c r="F4" s="159" t="s">
        <v>950</v>
      </c>
      <c r="G4" s="158" t="s">
        <v>509</v>
      </c>
      <c r="H4" s="161" t="s">
        <v>951</v>
      </c>
      <c r="I4" s="157" t="s">
        <v>0</v>
      </c>
      <c r="J4" s="160" t="s">
        <v>506</v>
      </c>
      <c r="K4" s="159" t="s">
        <v>949</v>
      </c>
      <c r="L4" s="160" t="s">
        <v>508</v>
      </c>
      <c r="M4" s="159" t="s">
        <v>950</v>
      </c>
      <c r="N4" s="158" t="s">
        <v>509</v>
      </c>
      <c r="O4" s="161" t="s">
        <v>951</v>
      </c>
      <c r="P4" s="157" t="s">
        <v>0</v>
      </c>
      <c r="Q4" s="160" t="s">
        <v>506</v>
      </c>
      <c r="R4" s="159" t="s">
        <v>949</v>
      </c>
      <c r="S4" s="160" t="s">
        <v>508</v>
      </c>
      <c r="T4" s="159" t="s">
        <v>950</v>
      </c>
      <c r="U4" s="160" t="s">
        <v>509</v>
      </c>
      <c r="V4" s="161" t="s">
        <v>951</v>
      </c>
      <c r="W4" s="196"/>
    </row>
    <row r="5" spans="1:23">
      <c r="A5" s="163" t="s">
        <v>130</v>
      </c>
      <c r="B5" s="164">
        <v>7739</v>
      </c>
      <c r="C5" s="122">
        <v>8069</v>
      </c>
      <c r="D5" s="144" t="s">
        <v>413</v>
      </c>
      <c r="E5" s="122">
        <v>7816</v>
      </c>
      <c r="F5" s="127" t="s">
        <v>768</v>
      </c>
      <c r="G5" s="122">
        <v>7726</v>
      </c>
      <c r="H5" s="165" t="s">
        <v>546</v>
      </c>
      <c r="I5" s="164">
        <v>8995</v>
      </c>
      <c r="J5" s="126">
        <v>9023</v>
      </c>
      <c r="K5" s="144" t="s">
        <v>289</v>
      </c>
      <c r="L5" s="122">
        <v>9056</v>
      </c>
      <c r="M5" s="127" t="s">
        <v>280</v>
      </c>
      <c r="N5" s="122">
        <v>9028</v>
      </c>
      <c r="O5" s="165" t="s">
        <v>471</v>
      </c>
      <c r="P5" s="164">
        <v>7336</v>
      </c>
      <c r="Q5" s="126">
        <v>8156</v>
      </c>
      <c r="R5" s="144" t="s">
        <v>250</v>
      </c>
      <c r="S5" s="122">
        <v>8207</v>
      </c>
      <c r="T5" s="23" t="s">
        <v>261</v>
      </c>
      <c r="U5" s="126">
        <v>7629</v>
      </c>
      <c r="V5" s="165" t="s">
        <v>885</v>
      </c>
      <c r="W5" s="205">
        <v>8209</v>
      </c>
    </row>
    <row r="6" spans="1:23">
      <c r="A6" s="163" t="s">
        <v>497</v>
      </c>
      <c r="B6" s="164">
        <v>-3987</v>
      </c>
      <c r="C6" s="122">
        <v>-4118</v>
      </c>
      <c r="D6" s="144" t="s">
        <v>721</v>
      </c>
      <c r="E6" s="122">
        <v>-4188</v>
      </c>
      <c r="F6" s="127" t="s">
        <v>272</v>
      </c>
      <c r="G6" s="122">
        <v>-4303</v>
      </c>
      <c r="H6" s="166">
        <v>0</v>
      </c>
      <c r="I6" s="164" t="s">
        <v>824</v>
      </c>
      <c r="J6" s="126">
        <v>-3766</v>
      </c>
      <c r="K6" s="144" t="s">
        <v>248</v>
      </c>
      <c r="L6" s="122">
        <v>-3904</v>
      </c>
      <c r="M6" s="127" t="s">
        <v>305</v>
      </c>
      <c r="N6" s="122">
        <v>-3745</v>
      </c>
      <c r="O6" s="165" t="s">
        <v>796</v>
      </c>
      <c r="P6" s="164">
        <v>-3862</v>
      </c>
      <c r="Q6" s="126">
        <v>-4139</v>
      </c>
      <c r="R6" s="144" t="s">
        <v>402</v>
      </c>
      <c r="S6" s="122">
        <v>-4064</v>
      </c>
      <c r="T6" s="23" t="s">
        <v>461</v>
      </c>
      <c r="U6" s="126">
        <v>-4264</v>
      </c>
      <c r="V6" s="165" t="s">
        <v>685</v>
      </c>
      <c r="W6" s="76" t="s">
        <v>550</v>
      </c>
    </row>
    <row r="7" spans="1:23">
      <c r="A7" s="163" t="s">
        <v>551</v>
      </c>
      <c r="B7" s="167" t="s">
        <v>675</v>
      </c>
      <c r="C7" s="83" t="s">
        <v>79</v>
      </c>
      <c r="D7" s="144" t="s">
        <v>279</v>
      </c>
      <c r="E7" s="83" t="s">
        <v>103</v>
      </c>
      <c r="F7" s="127" t="s">
        <v>303</v>
      </c>
      <c r="G7" s="83" t="s">
        <v>674</v>
      </c>
      <c r="H7" s="165" t="s">
        <v>926</v>
      </c>
      <c r="I7" s="167" t="s">
        <v>582</v>
      </c>
      <c r="J7" s="75" t="s">
        <v>737</v>
      </c>
      <c r="K7" s="144" t="s">
        <v>705</v>
      </c>
      <c r="L7" s="83" t="s">
        <v>893</v>
      </c>
      <c r="M7" s="25">
        <v>0.01</v>
      </c>
      <c r="N7" s="83" t="s">
        <v>12</v>
      </c>
      <c r="O7" s="165" t="s">
        <v>429</v>
      </c>
      <c r="P7" s="167" t="s">
        <v>607</v>
      </c>
      <c r="Q7" s="75" t="s">
        <v>12</v>
      </c>
      <c r="R7" s="144" t="s">
        <v>828</v>
      </c>
      <c r="S7" s="83" t="s">
        <v>577</v>
      </c>
      <c r="T7" s="23" t="s">
        <v>655</v>
      </c>
      <c r="U7" s="75" t="s">
        <v>74</v>
      </c>
      <c r="V7" s="166">
        <v>0.18</v>
      </c>
      <c r="W7" s="76" t="s">
        <v>11</v>
      </c>
    </row>
    <row r="8" spans="1:23">
      <c r="A8" s="163" t="s">
        <v>132</v>
      </c>
      <c r="B8" s="167" t="s">
        <v>829</v>
      </c>
      <c r="C8" s="83" t="s">
        <v>694</v>
      </c>
      <c r="D8" s="144" t="s">
        <v>655</v>
      </c>
      <c r="E8" s="83" t="s">
        <v>693</v>
      </c>
      <c r="F8" s="127" t="s">
        <v>250</v>
      </c>
      <c r="G8" s="83" t="s">
        <v>1074</v>
      </c>
      <c r="H8" s="165" t="s">
        <v>478</v>
      </c>
      <c r="I8" s="167" t="s">
        <v>830</v>
      </c>
      <c r="J8" s="75" t="s">
        <v>831</v>
      </c>
      <c r="K8" s="144" t="s">
        <v>434</v>
      </c>
      <c r="L8" s="83" t="s">
        <v>117</v>
      </c>
      <c r="M8" s="127" t="s">
        <v>256</v>
      </c>
      <c r="N8" s="83" t="s">
        <v>813</v>
      </c>
      <c r="O8" s="165" t="s">
        <v>286</v>
      </c>
      <c r="P8" s="167" t="s">
        <v>726</v>
      </c>
      <c r="Q8" s="75" t="s">
        <v>819</v>
      </c>
      <c r="R8" s="168">
        <v>0</v>
      </c>
      <c r="S8" s="83" t="s">
        <v>801</v>
      </c>
      <c r="T8" s="23" t="s">
        <v>474</v>
      </c>
      <c r="U8" s="75" t="s">
        <v>749</v>
      </c>
      <c r="V8" s="166">
        <v>0</v>
      </c>
      <c r="W8" s="76" t="s">
        <v>29</v>
      </c>
    </row>
    <row r="9" spans="1:23">
      <c r="A9" s="163" t="s">
        <v>133</v>
      </c>
      <c r="B9" s="167" t="s">
        <v>703</v>
      </c>
      <c r="C9" s="83" t="s">
        <v>560</v>
      </c>
      <c r="D9" s="144" t="s">
        <v>655</v>
      </c>
      <c r="E9" s="83" t="s">
        <v>572</v>
      </c>
      <c r="F9" s="127" t="s">
        <v>236</v>
      </c>
      <c r="G9" s="83" t="s">
        <v>115</v>
      </c>
      <c r="H9" s="165" t="s">
        <v>597</v>
      </c>
      <c r="I9" s="167" t="s">
        <v>555</v>
      </c>
      <c r="J9" s="75" t="s">
        <v>759</v>
      </c>
      <c r="K9" s="168">
        <v>0.05</v>
      </c>
      <c r="L9" s="83" t="s">
        <v>748</v>
      </c>
      <c r="M9" s="127" t="s">
        <v>376</v>
      </c>
      <c r="N9" s="83" t="s">
        <v>1075</v>
      </c>
      <c r="O9" s="165" t="s">
        <v>692</v>
      </c>
      <c r="P9" s="167" t="s">
        <v>85</v>
      </c>
      <c r="Q9" s="75" t="s">
        <v>836</v>
      </c>
      <c r="R9" s="144" t="s">
        <v>278</v>
      </c>
      <c r="S9" s="83" t="s">
        <v>555</v>
      </c>
      <c r="T9" s="23" t="s">
        <v>399</v>
      </c>
      <c r="U9" s="75" t="s">
        <v>879</v>
      </c>
      <c r="V9" s="165" t="s">
        <v>408</v>
      </c>
      <c r="W9" s="76" t="s">
        <v>30</v>
      </c>
    </row>
    <row r="10" spans="1:23">
      <c r="A10" s="163" t="s">
        <v>134</v>
      </c>
      <c r="B10" s="167" t="s">
        <v>81</v>
      </c>
      <c r="C10" s="83" t="s">
        <v>616</v>
      </c>
      <c r="D10" s="144" t="s">
        <v>553</v>
      </c>
      <c r="E10" s="83" t="s">
        <v>38</v>
      </c>
      <c r="F10" s="127" t="s">
        <v>274</v>
      </c>
      <c r="G10" s="83" t="s">
        <v>81</v>
      </c>
      <c r="H10" s="165" t="s">
        <v>575</v>
      </c>
      <c r="I10" s="167" t="s">
        <v>38</v>
      </c>
      <c r="J10" s="75" t="s">
        <v>82</v>
      </c>
      <c r="K10" s="144" t="s">
        <v>685</v>
      </c>
      <c r="L10" s="83" t="s">
        <v>617</v>
      </c>
      <c r="M10" s="25">
        <v>0.08</v>
      </c>
      <c r="N10" s="83" t="s">
        <v>617</v>
      </c>
      <c r="O10" s="165" t="s">
        <v>288</v>
      </c>
      <c r="P10" s="167" t="s">
        <v>743</v>
      </c>
      <c r="Q10" s="75" t="s">
        <v>675</v>
      </c>
      <c r="R10" s="168">
        <v>0</v>
      </c>
      <c r="S10" s="83" t="s">
        <v>72</v>
      </c>
      <c r="T10" s="21">
        <v>0</v>
      </c>
      <c r="U10" s="75" t="s">
        <v>84</v>
      </c>
      <c r="V10" s="165" t="s">
        <v>236</v>
      </c>
      <c r="W10" s="76" t="s">
        <v>31</v>
      </c>
    </row>
    <row r="11" spans="1:23">
      <c r="A11" s="163" t="s">
        <v>135</v>
      </c>
      <c r="B11" s="167" t="s">
        <v>629</v>
      </c>
      <c r="C11" s="83" t="s">
        <v>657</v>
      </c>
      <c r="D11" s="168" t="s">
        <v>676</v>
      </c>
      <c r="E11" s="83" t="s">
        <v>629</v>
      </c>
      <c r="F11" s="127" t="s">
        <v>594</v>
      </c>
      <c r="G11" s="122" t="s">
        <v>691</v>
      </c>
      <c r="H11" s="165" t="s">
        <v>296</v>
      </c>
      <c r="I11" s="167" t="s">
        <v>748</v>
      </c>
      <c r="J11" s="75" t="s">
        <v>44</v>
      </c>
      <c r="K11" s="144" t="s">
        <v>256</v>
      </c>
      <c r="L11" s="83" t="s">
        <v>1076</v>
      </c>
      <c r="M11" s="25">
        <v>0.14000000000000001</v>
      </c>
      <c r="N11" s="122" t="s">
        <v>644</v>
      </c>
      <c r="O11" s="165" t="s">
        <v>238</v>
      </c>
      <c r="P11" s="167" t="s">
        <v>837</v>
      </c>
      <c r="Q11" s="75" t="s">
        <v>838</v>
      </c>
      <c r="R11" s="144" t="s">
        <v>246</v>
      </c>
      <c r="S11" s="83" t="s">
        <v>736</v>
      </c>
      <c r="T11" s="23" t="s">
        <v>285</v>
      </c>
      <c r="U11" s="126" t="s">
        <v>32</v>
      </c>
      <c r="V11" s="165" t="s">
        <v>268</v>
      </c>
      <c r="W11" s="76" t="s">
        <v>32</v>
      </c>
    </row>
    <row r="12" spans="1:23">
      <c r="A12" s="163" t="s">
        <v>136</v>
      </c>
      <c r="B12" s="164">
        <v>2115</v>
      </c>
      <c r="C12" s="122">
        <v>1604</v>
      </c>
      <c r="D12" s="144" t="s">
        <v>545</v>
      </c>
      <c r="E12" s="122">
        <v>1638</v>
      </c>
      <c r="F12" s="127" t="s">
        <v>261</v>
      </c>
      <c r="G12" s="122">
        <v>1804</v>
      </c>
      <c r="H12" s="165" t="s">
        <v>244</v>
      </c>
      <c r="I12" s="164">
        <v>2115</v>
      </c>
      <c r="J12" s="126">
        <v>1638</v>
      </c>
      <c r="K12" s="168">
        <v>0</v>
      </c>
      <c r="L12" s="83" t="s">
        <v>1077</v>
      </c>
      <c r="M12" s="127" t="s">
        <v>240</v>
      </c>
      <c r="N12" s="122">
        <v>1756</v>
      </c>
      <c r="O12" s="165" t="s">
        <v>256</v>
      </c>
      <c r="P12" s="164">
        <v>2115</v>
      </c>
      <c r="Q12" s="126">
        <v>1611</v>
      </c>
      <c r="R12" s="168" t="s">
        <v>545</v>
      </c>
      <c r="S12" s="122">
        <v>1584</v>
      </c>
      <c r="T12" s="23" t="s">
        <v>692</v>
      </c>
      <c r="U12" s="126">
        <v>1658</v>
      </c>
      <c r="V12" s="165" t="s">
        <v>240</v>
      </c>
      <c r="W12" s="145">
        <v>1044</v>
      </c>
    </row>
    <row r="13" spans="1:23">
      <c r="A13" s="163" t="s">
        <v>498</v>
      </c>
      <c r="B13" s="164">
        <v>10631</v>
      </c>
      <c r="C13" s="122" t="s">
        <v>841</v>
      </c>
      <c r="D13" s="144" t="s">
        <v>568</v>
      </c>
      <c r="E13" s="122">
        <v>10878</v>
      </c>
      <c r="F13" s="127" t="s">
        <v>259</v>
      </c>
      <c r="G13" s="83" t="s">
        <v>1078</v>
      </c>
      <c r="H13" s="165" t="s">
        <v>474</v>
      </c>
      <c r="I13" s="164">
        <v>11688</v>
      </c>
      <c r="J13" s="126">
        <v>11731</v>
      </c>
      <c r="K13" s="144" t="s">
        <v>655</v>
      </c>
      <c r="L13" s="122">
        <v>12001</v>
      </c>
      <c r="M13" s="25">
        <v>0</v>
      </c>
      <c r="N13" s="122">
        <v>11684</v>
      </c>
      <c r="O13" s="165" t="s">
        <v>658</v>
      </c>
      <c r="P13" s="164">
        <v>10098</v>
      </c>
      <c r="Q13" s="126">
        <v>11272</v>
      </c>
      <c r="R13" s="144" t="s">
        <v>256</v>
      </c>
      <c r="S13" s="122">
        <v>11191</v>
      </c>
      <c r="T13" s="23" t="s">
        <v>278</v>
      </c>
      <c r="U13" s="126">
        <v>10812</v>
      </c>
      <c r="V13" s="165" t="s">
        <v>565</v>
      </c>
      <c r="W13" s="145">
        <v>11827</v>
      </c>
    </row>
    <row r="14" spans="1:23">
      <c r="A14" s="163" t="s">
        <v>137</v>
      </c>
      <c r="B14" s="167" t="s">
        <v>657</v>
      </c>
      <c r="C14" s="83" t="s">
        <v>121</v>
      </c>
      <c r="D14" s="168">
        <v>0</v>
      </c>
      <c r="E14" s="83" t="s">
        <v>747</v>
      </c>
      <c r="F14" s="25">
        <v>0</v>
      </c>
      <c r="G14" s="83" t="s">
        <v>629</v>
      </c>
      <c r="H14" s="165" t="s">
        <v>707</v>
      </c>
      <c r="I14" s="167" t="s">
        <v>842</v>
      </c>
      <c r="J14" s="75" t="s">
        <v>843</v>
      </c>
      <c r="K14" s="144" t="s">
        <v>610</v>
      </c>
      <c r="L14" s="83" t="s">
        <v>1079</v>
      </c>
      <c r="M14" s="127" t="s">
        <v>1080</v>
      </c>
      <c r="N14" s="83" t="s">
        <v>1081</v>
      </c>
      <c r="O14" s="165" t="s">
        <v>1082</v>
      </c>
      <c r="P14" s="167" t="s">
        <v>832</v>
      </c>
      <c r="Q14" s="75" t="s">
        <v>844</v>
      </c>
      <c r="R14" s="144" t="s">
        <v>478</v>
      </c>
      <c r="S14" s="83" t="s">
        <v>731</v>
      </c>
      <c r="T14" s="23" t="s">
        <v>480</v>
      </c>
      <c r="U14" s="75" t="s">
        <v>1083</v>
      </c>
      <c r="V14" s="165" t="s">
        <v>282</v>
      </c>
      <c r="W14" s="76" t="s">
        <v>33</v>
      </c>
    </row>
    <row r="15" spans="1:23">
      <c r="A15" s="163" t="s">
        <v>138</v>
      </c>
      <c r="B15" s="167" t="s">
        <v>75</v>
      </c>
      <c r="C15" s="83" t="s">
        <v>554</v>
      </c>
      <c r="D15" s="168">
        <v>0</v>
      </c>
      <c r="E15" s="83" t="s">
        <v>75</v>
      </c>
      <c r="F15" s="127" t="s">
        <v>635</v>
      </c>
      <c r="G15" s="122" t="s">
        <v>608</v>
      </c>
      <c r="H15" s="166">
        <v>0</v>
      </c>
      <c r="I15" s="167" t="s">
        <v>620</v>
      </c>
      <c r="J15" s="75" t="s">
        <v>620</v>
      </c>
      <c r="K15" s="144" t="s">
        <v>416</v>
      </c>
      <c r="L15" s="83" t="s">
        <v>620</v>
      </c>
      <c r="M15" s="25">
        <v>0.11</v>
      </c>
      <c r="N15" s="122" t="s">
        <v>89</v>
      </c>
      <c r="O15" s="165" t="s">
        <v>565</v>
      </c>
      <c r="P15" s="167" t="s">
        <v>45</v>
      </c>
      <c r="Q15" s="75" t="s">
        <v>89</v>
      </c>
      <c r="R15" s="144" t="s">
        <v>702</v>
      </c>
      <c r="S15" s="83" t="s">
        <v>45</v>
      </c>
      <c r="T15" s="23" t="s">
        <v>711</v>
      </c>
      <c r="U15" s="126" t="s">
        <v>111</v>
      </c>
      <c r="V15" s="165" t="s">
        <v>273</v>
      </c>
      <c r="W15" s="76" t="s">
        <v>34</v>
      </c>
    </row>
    <row r="16" spans="1:23">
      <c r="A16" s="163" t="s">
        <v>139</v>
      </c>
      <c r="B16" s="164">
        <v>3554</v>
      </c>
      <c r="C16" s="122">
        <v>3576</v>
      </c>
      <c r="D16" s="144" t="s">
        <v>303</v>
      </c>
      <c r="E16" s="122">
        <v>3555</v>
      </c>
      <c r="F16" s="127" t="s">
        <v>367</v>
      </c>
      <c r="G16" s="122">
        <v>3545</v>
      </c>
      <c r="H16" s="165" t="s">
        <v>610</v>
      </c>
      <c r="I16" s="164">
        <v>3632</v>
      </c>
      <c r="J16" s="126" t="s">
        <v>851</v>
      </c>
      <c r="K16" s="144" t="s">
        <v>270</v>
      </c>
      <c r="L16" s="122">
        <v>3611</v>
      </c>
      <c r="M16" s="127" t="s">
        <v>229</v>
      </c>
      <c r="N16" s="83" t="s">
        <v>1084</v>
      </c>
      <c r="O16" s="165" t="s">
        <v>385</v>
      </c>
      <c r="P16" s="164">
        <v>3609</v>
      </c>
      <c r="Q16" s="126">
        <v>3609</v>
      </c>
      <c r="R16" s="168">
        <v>0</v>
      </c>
      <c r="S16" s="122">
        <v>3607</v>
      </c>
      <c r="T16" s="23" t="s">
        <v>462</v>
      </c>
      <c r="U16" s="126">
        <v>3588</v>
      </c>
      <c r="V16" s="165" t="s">
        <v>1049</v>
      </c>
      <c r="W16" s="145">
        <v>3568</v>
      </c>
    </row>
    <row r="17" spans="1:37">
      <c r="A17" s="163" t="s">
        <v>140</v>
      </c>
      <c r="B17" s="167" t="s">
        <v>16</v>
      </c>
      <c r="C17" s="83" t="s">
        <v>852</v>
      </c>
      <c r="D17" s="144" t="s">
        <v>244</v>
      </c>
      <c r="E17" s="83" t="s">
        <v>970</v>
      </c>
      <c r="F17" s="172" t="s">
        <v>970</v>
      </c>
      <c r="G17" s="83" t="s">
        <v>970</v>
      </c>
      <c r="H17" s="165" t="s">
        <v>970</v>
      </c>
      <c r="I17" s="167" t="s">
        <v>83</v>
      </c>
      <c r="J17" s="75" t="s">
        <v>23</v>
      </c>
      <c r="K17" s="144" t="s">
        <v>478</v>
      </c>
      <c r="L17" s="75" t="s">
        <v>970</v>
      </c>
      <c r="M17" s="127" t="s">
        <v>970</v>
      </c>
      <c r="N17" s="83" t="s">
        <v>970</v>
      </c>
      <c r="O17" s="165" t="s">
        <v>970</v>
      </c>
      <c r="P17" s="167" t="s">
        <v>77</v>
      </c>
      <c r="Q17" s="75" t="s">
        <v>853</v>
      </c>
      <c r="R17" s="144" t="s">
        <v>282</v>
      </c>
      <c r="S17" s="83" t="s">
        <v>970</v>
      </c>
      <c r="T17" s="23" t="s">
        <v>970</v>
      </c>
      <c r="U17" s="75" t="s">
        <v>970</v>
      </c>
      <c r="V17" s="165" t="s">
        <v>970</v>
      </c>
      <c r="W17" s="76" t="s">
        <v>35</v>
      </c>
    </row>
    <row r="18" spans="1:37">
      <c r="A18" s="163" t="s">
        <v>141</v>
      </c>
      <c r="B18" s="167" t="s">
        <v>788</v>
      </c>
      <c r="C18" s="83" t="s">
        <v>80</v>
      </c>
      <c r="D18" s="144" t="s">
        <v>425</v>
      </c>
      <c r="E18" s="83" t="s">
        <v>970</v>
      </c>
      <c r="F18" s="172" t="s">
        <v>970</v>
      </c>
      <c r="G18" s="83" t="s">
        <v>970</v>
      </c>
      <c r="H18" s="165" t="s">
        <v>970</v>
      </c>
      <c r="I18" s="167" t="s">
        <v>87</v>
      </c>
      <c r="J18" s="75" t="s">
        <v>23</v>
      </c>
      <c r="K18" s="168" t="s">
        <v>281</v>
      </c>
      <c r="L18" s="75" t="s">
        <v>970</v>
      </c>
      <c r="M18" s="127" t="s">
        <v>970</v>
      </c>
      <c r="N18" s="83" t="s">
        <v>970</v>
      </c>
      <c r="O18" s="165" t="s">
        <v>970</v>
      </c>
      <c r="P18" s="167" t="s">
        <v>788</v>
      </c>
      <c r="Q18" s="75" t="s">
        <v>854</v>
      </c>
      <c r="R18" s="168" t="s">
        <v>478</v>
      </c>
      <c r="S18" s="83" t="s">
        <v>970</v>
      </c>
      <c r="T18" s="23" t="s">
        <v>970</v>
      </c>
      <c r="U18" s="75" t="s">
        <v>970</v>
      </c>
      <c r="V18" s="165" t="s">
        <v>970</v>
      </c>
      <c r="W18" s="76" t="s">
        <v>36</v>
      </c>
    </row>
    <row r="19" spans="1:37">
      <c r="A19" s="163" t="s">
        <v>1085</v>
      </c>
      <c r="B19" s="167" t="s">
        <v>792</v>
      </c>
      <c r="C19" s="83" t="s">
        <v>970</v>
      </c>
      <c r="D19" s="144" t="s">
        <v>970</v>
      </c>
      <c r="E19" s="83" t="s">
        <v>854</v>
      </c>
      <c r="F19" s="127" t="s">
        <v>277</v>
      </c>
      <c r="G19" s="83" t="s">
        <v>970</v>
      </c>
      <c r="H19" s="135" t="s">
        <v>970</v>
      </c>
      <c r="I19" s="223" t="s">
        <v>783</v>
      </c>
      <c r="J19" s="75" t="s">
        <v>970</v>
      </c>
      <c r="K19" s="144" t="s">
        <v>970</v>
      </c>
      <c r="L19" s="83" t="s">
        <v>901</v>
      </c>
      <c r="M19" s="127" t="s">
        <v>292</v>
      </c>
      <c r="N19" s="83" t="s">
        <v>970</v>
      </c>
      <c r="O19" s="135" t="s">
        <v>970</v>
      </c>
      <c r="P19" s="124" t="s">
        <v>112</v>
      </c>
      <c r="Q19" s="75" t="s">
        <v>970</v>
      </c>
      <c r="R19" s="144" t="s">
        <v>970</v>
      </c>
      <c r="S19" s="83" t="s">
        <v>109</v>
      </c>
      <c r="T19" s="23" t="s">
        <v>464</v>
      </c>
      <c r="U19" s="75" t="s">
        <v>970</v>
      </c>
      <c r="V19" s="135" t="s">
        <v>970</v>
      </c>
      <c r="W19" s="76" t="s">
        <v>18</v>
      </c>
    </row>
    <row r="20" spans="1:37" ht="17" thickBot="1">
      <c r="A20" s="206" t="s">
        <v>142</v>
      </c>
      <c r="B20" s="202" t="s">
        <v>783</v>
      </c>
      <c r="C20" s="138" t="s">
        <v>4</v>
      </c>
      <c r="D20" s="207" t="s">
        <v>823</v>
      </c>
      <c r="E20" s="138" t="s">
        <v>37</v>
      </c>
      <c r="F20" s="140" t="s">
        <v>280</v>
      </c>
      <c r="G20" s="138" t="s">
        <v>970</v>
      </c>
      <c r="H20" s="142" t="s">
        <v>970</v>
      </c>
      <c r="I20" s="202" t="s">
        <v>98</v>
      </c>
      <c r="J20" s="209" t="s">
        <v>98</v>
      </c>
      <c r="K20" s="207" t="s">
        <v>859</v>
      </c>
      <c r="L20" s="138" t="s">
        <v>710</v>
      </c>
      <c r="M20" s="140" t="s">
        <v>795</v>
      </c>
      <c r="N20" s="138" t="s">
        <v>970</v>
      </c>
      <c r="O20" s="142" t="s">
        <v>970</v>
      </c>
      <c r="P20" s="202" t="s">
        <v>92</v>
      </c>
      <c r="Q20" s="209" t="s">
        <v>4</v>
      </c>
      <c r="R20" s="207" t="s">
        <v>294</v>
      </c>
      <c r="S20" s="138" t="s">
        <v>13</v>
      </c>
      <c r="T20" s="224" t="s">
        <v>422</v>
      </c>
      <c r="U20" s="209" t="s">
        <v>970</v>
      </c>
      <c r="V20" s="142" t="s">
        <v>970</v>
      </c>
      <c r="W20" s="76" t="s">
        <v>38</v>
      </c>
    </row>
    <row r="21" spans="1:37" ht="18" thickTop="1" thickBot="1">
      <c r="A21" s="206" t="s">
        <v>973</v>
      </c>
      <c r="B21" s="225"/>
      <c r="C21" s="226" t="s">
        <v>1086</v>
      </c>
      <c r="D21" s="227"/>
      <c r="E21" s="181" t="s">
        <v>1087</v>
      </c>
      <c r="F21" s="182"/>
      <c r="G21" s="181" t="s">
        <v>1088</v>
      </c>
      <c r="H21" s="183"/>
      <c r="I21" s="225"/>
      <c r="J21" s="181" t="s">
        <v>1089</v>
      </c>
      <c r="K21" s="182"/>
      <c r="L21" s="181" t="s">
        <v>1090</v>
      </c>
      <c r="M21" s="182"/>
      <c r="N21" s="181" t="s">
        <v>1091</v>
      </c>
      <c r="O21" s="183"/>
      <c r="P21" s="225"/>
      <c r="Q21" s="226" t="s">
        <v>1092</v>
      </c>
      <c r="R21" s="227"/>
      <c r="S21" s="181" t="s">
        <v>1093</v>
      </c>
      <c r="T21" s="182"/>
      <c r="U21" s="181" t="s">
        <v>1094</v>
      </c>
      <c r="V21" s="183"/>
      <c r="W21" s="215"/>
    </row>
    <row r="22" spans="1:37" ht="17" thickBot="1">
      <c r="A22" s="190"/>
      <c r="B22" s="83"/>
      <c r="C22" s="83"/>
      <c r="D22" s="191"/>
      <c r="E22" s="83"/>
      <c r="F22" s="192"/>
      <c r="G22" s="83"/>
      <c r="H22" s="192"/>
      <c r="I22" s="83"/>
      <c r="J22" s="83"/>
      <c r="K22" s="191"/>
      <c r="L22" s="83"/>
      <c r="M22" s="192"/>
      <c r="N22" s="83"/>
      <c r="O22" s="192"/>
      <c r="P22" s="83"/>
      <c r="Q22" s="83"/>
      <c r="R22" s="191"/>
      <c r="S22" s="83"/>
      <c r="T22" s="192"/>
      <c r="U22" s="83"/>
      <c r="V22" s="192"/>
      <c r="W22" s="83"/>
      <c r="X22" s="83"/>
      <c r="Y22" s="193"/>
      <c r="Z22" s="83"/>
      <c r="AA22" s="192"/>
      <c r="AB22" s="83"/>
      <c r="AC22" s="192"/>
      <c r="AD22" s="83"/>
      <c r="AE22" s="83"/>
      <c r="AF22" s="191"/>
      <c r="AG22" s="83"/>
      <c r="AH22" s="192"/>
      <c r="AI22" s="83"/>
      <c r="AJ22" s="192"/>
      <c r="AK22" s="83"/>
    </row>
    <row r="23" spans="1:37">
      <c r="A23" s="146" t="s">
        <v>70</v>
      </c>
      <c r="B23" s="217" t="s">
        <v>189</v>
      </c>
      <c r="C23" s="218"/>
      <c r="D23" s="218"/>
      <c r="E23" s="218"/>
      <c r="F23" s="218"/>
      <c r="G23" s="218"/>
      <c r="H23" s="219"/>
      <c r="I23" s="217" t="s">
        <v>190</v>
      </c>
      <c r="J23" s="218"/>
      <c r="K23" s="218"/>
      <c r="L23" s="218"/>
      <c r="M23" s="218"/>
      <c r="N23" s="218"/>
      <c r="O23" s="219"/>
      <c r="P23" s="217" t="s">
        <v>415</v>
      </c>
      <c r="Q23" s="218"/>
      <c r="R23" s="218"/>
      <c r="S23" s="218"/>
      <c r="T23" s="218"/>
      <c r="U23" s="218"/>
      <c r="V23" s="219"/>
      <c r="W23" s="149" t="s">
        <v>143</v>
      </c>
      <c r="X23" s="83"/>
      <c r="Y23" s="191"/>
      <c r="Z23" s="83"/>
      <c r="AA23" s="192"/>
      <c r="AB23" s="83"/>
      <c r="AC23" s="192"/>
      <c r="AD23" s="83"/>
    </row>
    <row r="24" spans="1:37">
      <c r="A24" s="150"/>
      <c r="B24" s="220"/>
      <c r="C24" s="221"/>
      <c r="D24" s="221"/>
      <c r="E24" s="221"/>
      <c r="F24" s="221"/>
      <c r="G24" s="221"/>
      <c r="H24" s="222"/>
      <c r="I24" s="220"/>
      <c r="J24" s="221"/>
      <c r="K24" s="221"/>
      <c r="L24" s="221"/>
      <c r="M24" s="221"/>
      <c r="N24" s="221"/>
      <c r="O24" s="222"/>
      <c r="P24" s="220"/>
      <c r="Q24" s="221"/>
      <c r="R24" s="221"/>
      <c r="S24" s="221"/>
      <c r="T24" s="221"/>
      <c r="U24" s="221"/>
      <c r="V24" s="222"/>
      <c r="W24" s="152"/>
      <c r="X24" s="83"/>
      <c r="Y24" s="191"/>
      <c r="Z24" s="83"/>
      <c r="AA24" s="192"/>
      <c r="AB24" s="83"/>
      <c r="AC24" s="192"/>
      <c r="AD24" s="83"/>
    </row>
    <row r="25" spans="1:37">
      <c r="A25" s="153"/>
      <c r="B25" s="154" t="s">
        <v>194</v>
      </c>
      <c r="C25" s="89"/>
      <c r="D25" s="89"/>
      <c r="E25" s="89"/>
      <c r="F25" s="89"/>
      <c r="G25" s="89"/>
      <c r="H25" s="155"/>
      <c r="I25" s="154" t="s">
        <v>195</v>
      </c>
      <c r="J25" s="89"/>
      <c r="K25" s="89"/>
      <c r="L25" s="89"/>
      <c r="M25" s="89"/>
      <c r="N25" s="89"/>
      <c r="O25" s="155"/>
      <c r="P25" s="154" t="s">
        <v>196</v>
      </c>
      <c r="Q25" s="89"/>
      <c r="R25" s="89"/>
      <c r="S25" s="89"/>
      <c r="T25" s="89"/>
      <c r="U25" s="89"/>
      <c r="V25" s="155"/>
      <c r="W25" s="152"/>
      <c r="X25" s="83"/>
      <c r="Y25" s="191"/>
      <c r="Z25" s="83"/>
      <c r="AA25" s="192"/>
      <c r="AB25" s="83"/>
      <c r="AC25" s="192"/>
      <c r="AD25" s="83"/>
    </row>
    <row r="26" spans="1:37">
      <c r="A26" s="156" t="s">
        <v>128</v>
      </c>
      <c r="B26" s="157" t="s">
        <v>0</v>
      </c>
      <c r="C26" s="160" t="s">
        <v>506</v>
      </c>
      <c r="D26" s="159" t="s">
        <v>949</v>
      </c>
      <c r="E26" s="160" t="s">
        <v>508</v>
      </c>
      <c r="F26" s="159" t="s">
        <v>950</v>
      </c>
      <c r="G26" s="160" t="s">
        <v>509</v>
      </c>
      <c r="H26" s="161" t="s">
        <v>951</v>
      </c>
      <c r="I26" s="157" t="s">
        <v>0</v>
      </c>
      <c r="J26" s="160" t="s">
        <v>506</v>
      </c>
      <c r="K26" s="159" t="s">
        <v>949</v>
      </c>
      <c r="L26" s="160" t="s">
        <v>508</v>
      </c>
      <c r="M26" s="159" t="s">
        <v>950</v>
      </c>
      <c r="N26" s="160" t="s">
        <v>509</v>
      </c>
      <c r="O26" s="161" t="s">
        <v>951</v>
      </c>
      <c r="P26" s="157" t="s">
        <v>0</v>
      </c>
      <c r="Q26" s="160" t="s">
        <v>506</v>
      </c>
      <c r="R26" s="159" t="s">
        <v>949</v>
      </c>
      <c r="S26" s="160" t="s">
        <v>508</v>
      </c>
      <c r="T26" s="159" t="s">
        <v>950</v>
      </c>
      <c r="U26" s="160" t="s">
        <v>509</v>
      </c>
      <c r="V26" s="161" t="s">
        <v>951</v>
      </c>
      <c r="W26" s="162"/>
      <c r="X26" s="83"/>
      <c r="Y26" s="191"/>
      <c r="Z26" s="83"/>
      <c r="AA26" s="192"/>
      <c r="AB26" s="83"/>
      <c r="AC26" s="192"/>
      <c r="AD26" s="83"/>
    </row>
    <row r="27" spans="1:37">
      <c r="A27" s="163" t="s">
        <v>130</v>
      </c>
      <c r="B27" s="164">
        <v>8743</v>
      </c>
      <c r="C27" s="126">
        <v>8757</v>
      </c>
      <c r="D27" s="144" t="s">
        <v>823</v>
      </c>
      <c r="E27" s="122">
        <v>8629</v>
      </c>
      <c r="F27" s="23" t="s">
        <v>257</v>
      </c>
      <c r="G27" s="126">
        <v>8887</v>
      </c>
      <c r="H27" s="165" t="s">
        <v>230</v>
      </c>
      <c r="I27" s="164">
        <v>7019</v>
      </c>
      <c r="J27" s="126">
        <v>8706</v>
      </c>
      <c r="K27" s="168">
        <v>0</v>
      </c>
      <c r="L27" s="122">
        <v>8016</v>
      </c>
      <c r="M27" s="23" t="s">
        <v>473</v>
      </c>
      <c r="N27" s="126">
        <v>8451</v>
      </c>
      <c r="O27" s="166">
        <v>0</v>
      </c>
      <c r="P27" s="164">
        <v>7437</v>
      </c>
      <c r="Q27" s="126">
        <v>8428</v>
      </c>
      <c r="R27" s="144" t="s">
        <v>632</v>
      </c>
      <c r="S27" s="122">
        <v>8507</v>
      </c>
      <c r="T27" s="21">
        <v>0</v>
      </c>
      <c r="U27" s="126">
        <v>7647</v>
      </c>
      <c r="V27" s="165" t="s">
        <v>384</v>
      </c>
      <c r="W27" s="228">
        <v>8209</v>
      </c>
      <c r="X27" s="83"/>
      <c r="Y27" s="191"/>
      <c r="Z27" s="83"/>
      <c r="AA27" s="192"/>
      <c r="AB27" s="83"/>
      <c r="AC27" s="192"/>
      <c r="AD27" s="83"/>
    </row>
    <row r="28" spans="1:37">
      <c r="A28" s="163" t="s">
        <v>497</v>
      </c>
      <c r="B28" s="164">
        <v>-3681</v>
      </c>
      <c r="C28" s="126" t="s">
        <v>825</v>
      </c>
      <c r="D28" s="144" t="s">
        <v>682</v>
      </c>
      <c r="E28" s="122">
        <v>-3951</v>
      </c>
      <c r="F28" s="23" t="s">
        <v>430</v>
      </c>
      <c r="G28" s="75" t="s">
        <v>1095</v>
      </c>
      <c r="H28" s="165" t="s">
        <v>1008</v>
      </c>
      <c r="I28" s="164">
        <v>-4019</v>
      </c>
      <c r="J28" s="126">
        <v>-4059</v>
      </c>
      <c r="K28" s="144" t="s">
        <v>430</v>
      </c>
      <c r="L28" s="122">
        <v>-4318</v>
      </c>
      <c r="M28" s="23" t="s">
        <v>235</v>
      </c>
      <c r="N28" s="126">
        <v>-4036</v>
      </c>
      <c r="O28" s="166">
        <v>0.25</v>
      </c>
      <c r="P28" s="164" t="s">
        <v>826</v>
      </c>
      <c r="Q28" s="126">
        <v>-4059</v>
      </c>
      <c r="R28" s="144" t="s">
        <v>827</v>
      </c>
      <c r="S28" s="122">
        <v>-4024</v>
      </c>
      <c r="T28" s="23" t="s">
        <v>910</v>
      </c>
      <c r="U28" s="126">
        <v>-4339</v>
      </c>
      <c r="V28" s="166">
        <v>0</v>
      </c>
      <c r="W28" s="167" t="s">
        <v>550</v>
      </c>
      <c r="X28" s="83"/>
      <c r="Y28" s="191"/>
      <c r="Z28" s="83"/>
      <c r="AA28" s="192"/>
      <c r="AB28" s="83"/>
      <c r="AC28" s="192"/>
      <c r="AD28" s="83"/>
    </row>
    <row r="29" spans="1:37">
      <c r="A29" s="163" t="s">
        <v>551</v>
      </c>
      <c r="B29" s="167" t="s">
        <v>743</v>
      </c>
      <c r="C29" s="75" t="s">
        <v>616</v>
      </c>
      <c r="D29" s="144" t="s">
        <v>624</v>
      </c>
      <c r="E29" s="83" t="s">
        <v>72</v>
      </c>
      <c r="F29" s="23" t="s">
        <v>611</v>
      </c>
      <c r="G29" s="75" t="s">
        <v>684</v>
      </c>
      <c r="H29" s="165" t="s">
        <v>244</v>
      </c>
      <c r="I29" s="167" t="s">
        <v>13</v>
      </c>
      <c r="J29" s="75" t="s">
        <v>743</v>
      </c>
      <c r="K29" s="144" t="s">
        <v>548</v>
      </c>
      <c r="L29" s="83" t="s">
        <v>39</v>
      </c>
      <c r="M29" s="23" t="s">
        <v>439</v>
      </c>
      <c r="N29" s="75" t="s">
        <v>84</v>
      </c>
      <c r="O29" s="165" t="s">
        <v>248</v>
      </c>
      <c r="P29" s="167" t="s">
        <v>579</v>
      </c>
      <c r="Q29" s="75" t="s">
        <v>651</v>
      </c>
      <c r="R29" s="144" t="s">
        <v>408</v>
      </c>
      <c r="S29" s="83" t="s">
        <v>12</v>
      </c>
      <c r="T29" s="21">
        <v>0.1</v>
      </c>
      <c r="U29" s="75" t="s">
        <v>554</v>
      </c>
      <c r="V29" s="165" t="s">
        <v>421</v>
      </c>
      <c r="W29" s="167" t="s">
        <v>11</v>
      </c>
      <c r="X29" s="83"/>
      <c r="Y29" s="191"/>
      <c r="Z29" s="83"/>
      <c r="AA29" s="192"/>
      <c r="AB29" s="83"/>
      <c r="AC29" s="192"/>
      <c r="AD29" s="83"/>
    </row>
    <row r="30" spans="1:37">
      <c r="A30" s="163" t="s">
        <v>132</v>
      </c>
      <c r="B30" s="167" t="s">
        <v>832</v>
      </c>
      <c r="C30" s="75" t="s">
        <v>750</v>
      </c>
      <c r="D30" s="168" t="s">
        <v>568</v>
      </c>
      <c r="E30" s="83" t="s">
        <v>875</v>
      </c>
      <c r="F30" s="23" t="s">
        <v>434</v>
      </c>
      <c r="G30" s="75" t="s">
        <v>747</v>
      </c>
      <c r="H30" s="165" t="s">
        <v>399</v>
      </c>
      <c r="I30" s="167" t="s">
        <v>833</v>
      </c>
      <c r="J30" s="75" t="s">
        <v>694</v>
      </c>
      <c r="K30" s="144" t="s">
        <v>261</v>
      </c>
      <c r="L30" s="83" t="s">
        <v>1074</v>
      </c>
      <c r="M30" s="21">
        <v>0</v>
      </c>
      <c r="N30" s="75" t="s">
        <v>1096</v>
      </c>
      <c r="O30" s="165" t="s">
        <v>232</v>
      </c>
      <c r="P30" s="167" t="s">
        <v>834</v>
      </c>
      <c r="Q30" s="75" t="s">
        <v>835</v>
      </c>
      <c r="R30" s="144" t="s">
        <v>385</v>
      </c>
      <c r="S30" s="83" t="s">
        <v>842</v>
      </c>
      <c r="T30" s="23" t="s">
        <v>611</v>
      </c>
      <c r="U30" s="75" t="s">
        <v>1097</v>
      </c>
      <c r="V30" s="166">
        <v>0</v>
      </c>
      <c r="W30" s="167" t="s">
        <v>29</v>
      </c>
      <c r="X30" s="83"/>
      <c r="Y30" s="191"/>
      <c r="Z30" s="83"/>
      <c r="AA30" s="192"/>
      <c r="AB30" s="83"/>
      <c r="AC30" s="192"/>
      <c r="AD30" s="83"/>
    </row>
    <row r="31" spans="1:37">
      <c r="A31" s="163" t="s">
        <v>133</v>
      </c>
      <c r="B31" s="167" t="s">
        <v>649</v>
      </c>
      <c r="C31" s="75" t="s">
        <v>583</v>
      </c>
      <c r="D31" s="144" t="s">
        <v>591</v>
      </c>
      <c r="E31" s="83" t="s">
        <v>869</v>
      </c>
      <c r="F31" s="21">
        <v>0.11</v>
      </c>
      <c r="G31" s="75" t="s">
        <v>573</v>
      </c>
      <c r="H31" s="165" t="s">
        <v>1098</v>
      </c>
      <c r="I31" s="167" t="s">
        <v>623</v>
      </c>
      <c r="J31" s="75" t="s">
        <v>639</v>
      </c>
      <c r="K31" s="168">
        <v>0.03</v>
      </c>
      <c r="L31" s="83" t="s">
        <v>706</v>
      </c>
      <c r="M31" s="23" t="s">
        <v>666</v>
      </c>
      <c r="N31" s="75" t="s">
        <v>644</v>
      </c>
      <c r="O31" s="165" t="s">
        <v>240</v>
      </c>
      <c r="P31" s="167" t="s">
        <v>587</v>
      </c>
      <c r="Q31" s="75" t="s">
        <v>592</v>
      </c>
      <c r="R31" s="168">
        <v>0</v>
      </c>
      <c r="S31" s="83" t="s">
        <v>583</v>
      </c>
      <c r="T31" s="21">
        <v>0</v>
      </c>
      <c r="U31" s="75" t="s">
        <v>1099</v>
      </c>
      <c r="V31" s="165" t="s">
        <v>244</v>
      </c>
      <c r="W31" s="167" t="s">
        <v>30</v>
      </c>
      <c r="X31" s="83"/>
      <c r="Y31" s="191"/>
      <c r="Z31" s="83"/>
      <c r="AA31" s="192"/>
      <c r="AB31" s="83"/>
      <c r="AC31" s="192"/>
      <c r="AD31" s="83"/>
    </row>
    <row r="32" spans="1:37">
      <c r="A32" s="163" t="s">
        <v>134</v>
      </c>
      <c r="B32" s="167" t="s">
        <v>22</v>
      </c>
      <c r="C32" s="75" t="s">
        <v>579</v>
      </c>
      <c r="D32" s="144" t="s">
        <v>558</v>
      </c>
      <c r="E32" s="83" t="s">
        <v>579</v>
      </c>
      <c r="F32" s="23" t="s">
        <v>478</v>
      </c>
      <c r="G32" s="75" t="s">
        <v>577</v>
      </c>
      <c r="H32" s="165" t="s">
        <v>387</v>
      </c>
      <c r="I32" s="167" t="s">
        <v>616</v>
      </c>
      <c r="J32" s="75" t="s">
        <v>103</v>
      </c>
      <c r="K32" s="168">
        <v>0</v>
      </c>
      <c r="L32" s="83" t="s">
        <v>82</v>
      </c>
      <c r="M32" s="23" t="s">
        <v>761</v>
      </c>
      <c r="N32" s="75" t="s">
        <v>616</v>
      </c>
      <c r="O32" s="166">
        <v>0.15</v>
      </c>
      <c r="P32" s="167" t="s">
        <v>84</v>
      </c>
      <c r="Q32" s="75" t="s">
        <v>22</v>
      </c>
      <c r="R32" s="168">
        <v>0</v>
      </c>
      <c r="S32" s="83" t="s">
        <v>608</v>
      </c>
      <c r="T32" s="21">
        <v>0</v>
      </c>
      <c r="U32" s="75" t="s">
        <v>41</v>
      </c>
      <c r="V32" s="165" t="s">
        <v>1100</v>
      </c>
      <c r="W32" s="167" t="s">
        <v>31</v>
      </c>
      <c r="X32" s="83"/>
      <c r="Y32" s="191"/>
      <c r="Z32" s="83"/>
      <c r="AA32" s="192"/>
      <c r="AB32" s="83"/>
      <c r="AC32" s="192"/>
      <c r="AD32" s="83"/>
    </row>
    <row r="33" spans="1:30">
      <c r="A33" s="163" t="s">
        <v>135</v>
      </c>
      <c r="B33" s="167" t="s">
        <v>709</v>
      </c>
      <c r="C33" s="75" t="s">
        <v>689</v>
      </c>
      <c r="D33" s="168" t="s">
        <v>261</v>
      </c>
      <c r="E33" s="83" t="s">
        <v>696</v>
      </c>
      <c r="F33" s="23" t="s">
        <v>261</v>
      </c>
      <c r="G33" s="126" t="s">
        <v>839</v>
      </c>
      <c r="H33" s="165" t="s">
        <v>244</v>
      </c>
      <c r="I33" s="167" t="s">
        <v>641</v>
      </c>
      <c r="J33" s="75" t="s">
        <v>838</v>
      </c>
      <c r="K33" s="144" t="s">
        <v>458</v>
      </c>
      <c r="L33" s="83" t="s">
        <v>686</v>
      </c>
      <c r="M33" s="23" t="s">
        <v>401</v>
      </c>
      <c r="N33" s="75" t="s">
        <v>677</v>
      </c>
      <c r="O33" s="166">
        <v>0</v>
      </c>
      <c r="P33" s="167" t="s">
        <v>839</v>
      </c>
      <c r="Q33" s="75" t="s">
        <v>696</v>
      </c>
      <c r="R33" s="144" t="s">
        <v>840</v>
      </c>
      <c r="S33" s="83" t="s">
        <v>26</v>
      </c>
      <c r="T33" s="23" t="s">
        <v>856</v>
      </c>
      <c r="U33" s="75" t="s">
        <v>108</v>
      </c>
      <c r="V33" s="165" t="s">
        <v>632</v>
      </c>
      <c r="W33" s="167" t="s">
        <v>32</v>
      </c>
      <c r="X33" s="83"/>
      <c r="Y33" s="191"/>
      <c r="Z33" s="83"/>
      <c r="AA33" s="192"/>
      <c r="AB33" s="83"/>
      <c r="AC33" s="192"/>
      <c r="AD33" s="83"/>
    </row>
    <row r="34" spans="1:30">
      <c r="A34" s="163" t="s">
        <v>136</v>
      </c>
      <c r="B34" s="164">
        <v>2115</v>
      </c>
      <c r="C34" s="126">
        <v>1499</v>
      </c>
      <c r="D34" s="144" t="s">
        <v>296</v>
      </c>
      <c r="E34" s="122">
        <v>1517</v>
      </c>
      <c r="F34" s="23" t="s">
        <v>285</v>
      </c>
      <c r="G34" s="126">
        <v>1565</v>
      </c>
      <c r="H34" s="165" t="s">
        <v>468</v>
      </c>
      <c r="I34" s="164">
        <v>2115</v>
      </c>
      <c r="J34" s="126">
        <v>1482</v>
      </c>
      <c r="K34" s="144" t="s">
        <v>439</v>
      </c>
      <c r="L34" s="83" t="s">
        <v>1101</v>
      </c>
      <c r="M34" s="23" t="s">
        <v>692</v>
      </c>
      <c r="N34" s="126">
        <v>1508</v>
      </c>
      <c r="O34" s="166">
        <v>0</v>
      </c>
      <c r="P34" s="164">
        <v>2115</v>
      </c>
      <c r="Q34" s="126">
        <v>1446</v>
      </c>
      <c r="R34" s="144" t="s">
        <v>611</v>
      </c>
      <c r="S34" s="122">
        <v>1529</v>
      </c>
      <c r="T34" s="23" t="s">
        <v>236</v>
      </c>
      <c r="U34" s="126">
        <v>1853</v>
      </c>
      <c r="V34" s="165" t="s">
        <v>434</v>
      </c>
      <c r="W34" s="164">
        <v>1044</v>
      </c>
      <c r="X34" s="83"/>
      <c r="Y34" s="191"/>
      <c r="Z34" s="83"/>
      <c r="AA34" s="192"/>
      <c r="AB34" s="83"/>
      <c r="AC34" s="192"/>
      <c r="AD34" s="83"/>
    </row>
    <row r="35" spans="1:30">
      <c r="A35" s="163" t="s">
        <v>498</v>
      </c>
      <c r="B35" s="164">
        <v>11448</v>
      </c>
      <c r="C35" s="126">
        <v>11652</v>
      </c>
      <c r="D35" s="168" t="s">
        <v>375</v>
      </c>
      <c r="E35" s="122">
        <v>11571</v>
      </c>
      <c r="F35" s="23" t="s">
        <v>268</v>
      </c>
      <c r="G35" s="126">
        <v>11617</v>
      </c>
      <c r="H35" s="165" t="s">
        <v>244</v>
      </c>
      <c r="I35" s="164">
        <v>9747</v>
      </c>
      <c r="J35" s="126">
        <v>11742</v>
      </c>
      <c r="K35" s="144" t="s">
        <v>385</v>
      </c>
      <c r="L35" s="122">
        <v>11234</v>
      </c>
      <c r="M35" s="23" t="s">
        <v>632</v>
      </c>
      <c r="N35" s="126">
        <v>11367</v>
      </c>
      <c r="O35" s="165" t="s">
        <v>473</v>
      </c>
      <c r="P35" s="164">
        <v>10223</v>
      </c>
      <c r="Q35" s="126">
        <v>11425</v>
      </c>
      <c r="R35" s="144" t="s">
        <v>399</v>
      </c>
      <c r="S35" s="122">
        <v>11476</v>
      </c>
      <c r="T35" s="23" t="s">
        <v>611</v>
      </c>
      <c r="U35" s="126">
        <v>10991</v>
      </c>
      <c r="V35" s="165" t="s">
        <v>244</v>
      </c>
      <c r="W35" s="164">
        <v>11827</v>
      </c>
      <c r="X35" s="83"/>
      <c r="Y35" s="191"/>
      <c r="Z35" s="83"/>
      <c r="AA35" s="192"/>
      <c r="AB35" s="83"/>
      <c r="AC35" s="192"/>
      <c r="AD35" s="83"/>
    </row>
    <row r="36" spans="1:30">
      <c r="A36" s="163" t="s">
        <v>137</v>
      </c>
      <c r="B36" s="167" t="s">
        <v>845</v>
      </c>
      <c r="C36" s="75" t="s">
        <v>843</v>
      </c>
      <c r="D36" s="144" t="s">
        <v>632</v>
      </c>
      <c r="E36" s="83" t="s">
        <v>1102</v>
      </c>
      <c r="F36" s="23" t="s">
        <v>399</v>
      </c>
      <c r="G36" s="75" t="s">
        <v>805</v>
      </c>
      <c r="H36" s="165" t="s">
        <v>297</v>
      </c>
      <c r="I36" s="167" t="s">
        <v>846</v>
      </c>
      <c r="J36" s="75" t="s">
        <v>847</v>
      </c>
      <c r="K36" s="144" t="s">
        <v>848</v>
      </c>
      <c r="L36" s="83" t="s">
        <v>1103</v>
      </c>
      <c r="M36" s="23" t="s">
        <v>369</v>
      </c>
      <c r="N36" s="75" t="s">
        <v>1104</v>
      </c>
      <c r="O36" s="165" t="s">
        <v>1046</v>
      </c>
      <c r="P36" s="167" t="s">
        <v>641</v>
      </c>
      <c r="Q36" s="75" t="s">
        <v>849</v>
      </c>
      <c r="R36" s="168">
        <v>0</v>
      </c>
      <c r="S36" s="83" t="s">
        <v>835</v>
      </c>
      <c r="T36" s="23" t="s">
        <v>434</v>
      </c>
      <c r="U36" s="75" t="s">
        <v>836</v>
      </c>
      <c r="V36" s="165" t="s">
        <v>953</v>
      </c>
      <c r="W36" s="167" t="s">
        <v>33</v>
      </c>
      <c r="X36" s="83"/>
      <c r="Y36" s="191"/>
      <c r="Z36" s="83"/>
      <c r="AA36" s="192"/>
      <c r="AB36" s="83"/>
      <c r="AC36" s="192"/>
      <c r="AD36" s="83"/>
    </row>
    <row r="37" spans="1:30">
      <c r="A37" s="163" t="s">
        <v>138</v>
      </c>
      <c r="B37" s="167" t="s">
        <v>25</v>
      </c>
      <c r="C37" s="75" t="s">
        <v>34</v>
      </c>
      <c r="D37" s="144" t="s">
        <v>376</v>
      </c>
      <c r="E37" s="83" t="s">
        <v>79</v>
      </c>
      <c r="F37" s="23" t="s">
        <v>301</v>
      </c>
      <c r="G37" s="126" t="s">
        <v>74</v>
      </c>
      <c r="H37" s="165" t="s">
        <v>244</v>
      </c>
      <c r="I37" s="167" t="s">
        <v>850</v>
      </c>
      <c r="J37" s="75" t="s">
        <v>105</v>
      </c>
      <c r="K37" s="168">
        <v>0</v>
      </c>
      <c r="L37" s="83" t="s">
        <v>684</v>
      </c>
      <c r="M37" s="23" t="s">
        <v>434</v>
      </c>
      <c r="N37" s="126" t="s">
        <v>72</v>
      </c>
      <c r="O37" s="165" t="s">
        <v>423</v>
      </c>
      <c r="P37" s="167" t="s">
        <v>579</v>
      </c>
      <c r="Q37" s="75" t="s">
        <v>25</v>
      </c>
      <c r="R37" s="144" t="s">
        <v>685</v>
      </c>
      <c r="S37" s="83" t="s">
        <v>893</v>
      </c>
      <c r="T37" s="23" t="s">
        <v>705</v>
      </c>
      <c r="U37" s="126" t="s">
        <v>745</v>
      </c>
      <c r="V37" s="165" t="s">
        <v>256</v>
      </c>
      <c r="W37" s="167" t="s">
        <v>34</v>
      </c>
      <c r="X37" s="83"/>
      <c r="Y37" s="191"/>
      <c r="Z37" s="83"/>
      <c r="AA37" s="192"/>
      <c r="AB37" s="83"/>
      <c r="AC37" s="192"/>
      <c r="AD37" s="83"/>
    </row>
    <row r="38" spans="1:30">
      <c r="A38" s="163" t="s">
        <v>139</v>
      </c>
      <c r="B38" s="164">
        <v>3641</v>
      </c>
      <c r="C38" s="126">
        <v>3637</v>
      </c>
      <c r="D38" s="168">
        <v>0.03</v>
      </c>
      <c r="E38" s="122">
        <v>3638</v>
      </c>
      <c r="F38" s="23" t="s">
        <v>402</v>
      </c>
      <c r="G38" s="126">
        <v>3527</v>
      </c>
      <c r="H38" s="165" t="s">
        <v>244</v>
      </c>
      <c r="I38" s="164">
        <v>3715</v>
      </c>
      <c r="J38" s="126">
        <v>3709</v>
      </c>
      <c r="K38" s="168">
        <v>0.16</v>
      </c>
      <c r="L38" s="83" t="s">
        <v>612</v>
      </c>
      <c r="M38" s="23" t="s">
        <v>1032</v>
      </c>
      <c r="N38" s="126">
        <v>3677</v>
      </c>
      <c r="O38" s="165" t="s">
        <v>424</v>
      </c>
      <c r="P38" s="164">
        <v>3633</v>
      </c>
      <c r="Q38" s="126">
        <v>3632</v>
      </c>
      <c r="R38" s="168">
        <v>0.05</v>
      </c>
      <c r="S38" s="122">
        <v>3624</v>
      </c>
      <c r="T38" s="21">
        <v>0.15</v>
      </c>
      <c r="U38" s="126">
        <v>3622</v>
      </c>
      <c r="V38" s="165" t="s">
        <v>362</v>
      </c>
      <c r="W38" s="164">
        <v>3568</v>
      </c>
      <c r="X38" s="83"/>
      <c r="Y38" s="191"/>
      <c r="Z38" s="83"/>
      <c r="AA38" s="192"/>
      <c r="AB38" s="83"/>
      <c r="AC38" s="192"/>
      <c r="AD38" s="83"/>
    </row>
    <row r="39" spans="1:30">
      <c r="A39" s="163" t="s">
        <v>140</v>
      </c>
      <c r="B39" s="167" t="s">
        <v>854</v>
      </c>
      <c r="C39" s="75" t="s">
        <v>3</v>
      </c>
      <c r="D39" s="144" t="s">
        <v>289</v>
      </c>
      <c r="E39" s="83" t="s">
        <v>970</v>
      </c>
      <c r="F39" s="23" t="s">
        <v>970</v>
      </c>
      <c r="G39" s="75" t="s">
        <v>970</v>
      </c>
      <c r="H39" s="165" t="s">
        <v>970</v>
      </c>
      <c r="I39" s="167" t="s">
        <v>92</v>
      </c>
      <c r="J39" s="75" t="s">
        <v>855</v>
      </c>
      <c r="K39" s="144" t="s">
        <v>610</v>
      </c>
      <c r="L39" s="83" t="s">
        <v>970</v>
      </c>
      <c r="M39" s="199" t="s">
        <v>970</v>
      </c>
      <c r="N39" s="75" t="s">
        <v>970</v>
      </c>
      <c r="O39" s="165" t="s">
        <v>970</v>
      </c>
      <c r="P39" s="167" t="s">
        <v>77</v>
      </c>
      <c r="Q39" s="75" t="s">
        <v>46</v>
      </c>
      <c r="R39" s="144" t="s">
        <v>642</v>
      </c>
      <c r="S39" s="83" t="s">
        <v>970</v>
      </c>
      <c r="T39" s="199" t="s">
        <v>970</v>
      </c>
      <c r="U39" s="75" t="s">
        <v>970</v>
      </c>
      <c r="V39" s="165" t="s">
        <v>970</v>
      </c>
      <c r="W39" s="167" t="s">
        <v>35</v>
      </c>
      <c r="X39" s="83"/>
      <c r="Y39" s="191"/>
      <c r="Z39" s="83"/>
      <c r="AA39" s="192"/>
      <c r="AB39" s="83"/>
      <c r="AC39" s="192"/>
      <c r="AD39" s="83"/>
    </row>
    <row r="40" spans="1:30">
      <c r="A40" s="163" t="s">
        <v>141</v>
      </c>
      <c r="B40" s="167" t="s">
        <v>96</v>
      </c>
      <c r="C40" s="75" t="s">
        <v>95</v>
      </c>
      <c r="D40" s="144" t="s">
        <v>768</v>
      </c>
      <c r="E40" s="83" t="s">
        <v>970</v>
      </c>
      <c r="F40" s="23" t="s">
        <v>970</v>
      </c>
      <c r="G40" s="75" t="s">
        <v>970</v>
      </c>
      <c r="H40" s="165" t="s">
        <v>970</v>
      </c>
      <c r="I40" s="167" t="s">
        <v>793</v>
      </c>
      <c r="J40" s="75" t="s">
        <v>46</v>
      </c>
      <c r="K40" s="144" t="s">
        <v>856</v>
      </c>
      <c r="L40" s="83" t="s">
        <v>970</v>
      </c>
      <c r="M40" s="199" t="s">
        <v>970</v>
      </c>
      <c r="N40" s="75" t="s">
        <v>970</v>
      </c>
      <c r="O40" s="165" t="s">
        <v>970</v>
      </c>
      <c r="P40" s="167" t="s">
        <v>857</v>
      </c>
      <c r="Q40" s="75" t="s">
        <v>858</v>
      </c>
      <c r="R40" s="144" t="s">
        <v>369</v>
      </c>
      <c r="S40" s="83" t="s">
        <v>970</v>
      </c>
      <c r="T40" s="199" t="s">
        <v>970</v>
      </c>
      <c r="U40" s="75" t="s">
        <v>970</v>
      </c>
      <c r="V40" s="165" t="s">
        <v>970</v>
      </c>
      <c r="W40" s="167" t="s">
        <v>36</v>
      </c>
      <c r="X40" s="83"/>
      <c r="Y40" s="191"/>
      <c r="Z40" s="83"/>
      <c r="AA40" s="192"/>
      <c r="AB40" s="83"/>
      <c r="AC40" s="192"/>
      <c r="AD40" s="83"/>
    </row>
    <row r="41" spans="1:30">
      <c r="A41" s="163" t="s">
        <v>1085</v>
      </c>
      <c r="B41" s="124" t="s">
        <v>4</v>
      </c>
      <c r="C41" s="75" t="s">
        <v>970</v>
      </c>
      <c r="D41" s="168" t="s">
        <v>970</v>
      </c>
      <c r="E41" s="83" t="s">
        <v>112</v>
      </c>
      <c r="F41" s="21">
        <v>0.05</v>
      </c>
      <c r="G41" s="75" t="s">
        <v>970</v>
      </c>
      <c r="H41" s="135" t="s">
        <v>970</v>
      </c>
      <c r="I41" s="124" t="s">
        <v>18</v>
      </c>
      <c r="J41" s="75" t="s">
        <v>970</v>
      </c>
      <c r="K41" s="144" t="s">
        <v>970</v>
      </c>
      <c r="L41" s="83" t="s">
        <v>897</v>
      </c>
      <c r="M41" s="23" t="s">
        <v>294</v>
      </c>
      <c r="N41" s="75" t="s">
        <v>970</v>
      </c>
      <c r="O41" s="135" t="s">
        <v>970</v>
      </c>
      <c r="P41" s="124" t="s">
        <v>580</v>
      </c>
      <c r="Q41" s="75" t="s">
        <v>970</v>
      </c>
      <c r="R41" s="144" t="s">
        <v>970</v>
      </c>
      <c r="S41" s="83" t="s">
        <v>104</v>
      </c>
      <c r="T41" s="21">
        <v>0.18</v>
      </c>
      <c r="U41" s="75" t="s">
        <v>970</v>
      </c>
      <c r="V41" s="135" t="s">
        <v>970</v>
      </c>
      <c r="W41" s="167" t="s">
        <v>18</v>
      </c>
      <c r="X41" s="83"/>
      <c r="Y41" s="191"/>
      <c r="Z41" s="83"/>
      <c r="AA41" s="192"/>
      <c r="AB41" s="83"/>
      <c r="AC41" s="192"/>
      <c r="AD41" s="83"/>
    </row>
    <row r="42" spans="1:30" ht="17" thickBot="1">
      <c r="A42" s="206" t="s">
        <v>142</v>
      </c>
      <c r="B42" s="202" t="s">
        <v>13</v>
      </c>
      <c r="C42" s="209" t="s">
        <v>37</v>
      </c>
      <c r="D42" s="229">
        <v>0.13</v>
      </c>
      <c r="E42" s="138" t="s">
        <v>18</v>
      </c>
      <c r="F42" s="230">
        <v>0.19</v>
      </c>
      <c r="G42" s="209" t="s">
        <v>970</v>
      </c>
      <c r="H42" s="142" t="s">
        <v>970</v>
      </c>
      <c r="I42" s="202" t="s">
        <v>552</v>
      </c>
      <c r="J42" s="80" t="s">
        <v>99</v>
      </c>
      <c r="K42" s="201">
        <v>7.0000000000000007E-2</v>
      </c>
      <c r="L42" s="81" t="s">
        <v>92</v>
      </c>
      <c r="M42" s="176" t="s">
        <v>249</v>
      </c>
      <c r="N42" s="80" t="s">
        <v>970</v>
      </c>
      <c r="O42" s="177" t="s">
        <v>970</v>
      </c>
      <c r="P42" s="202" t="s">
        <v>783</v>
      </c>
      <c r="Q42" s="80" t="s">
        <v>609</v>
      </c>
      <c r="R42" s="175" t="s">
        <v>711</v>
      </c>
      <c r="S42" s="81" t="s">
        <v>4</v>
      </c>
      <c r="T42" s="176" t="s">
        <v>402</v>
      </c>
      <c r="U42" s="80" t="s">
        <v>970</v>
      </c>
      <c r="V42" s="177" t="s">
        <v>970</v>
      </c>
      <c r="W42" s="167" t="s">
        <v>38</v>
      </c>
      <c r="X42" s="83"/>
      <c r="Y42" s="191"/>
      <c r="Z42" s="83"/>
      <c r="AA42" s="192"/>
      <c r="AB42" s="83"/>
      <c r="AC42" s="192"/>
      <c r="AD42" s="83"/>
    </row>
    <row r="43" spans="1:30" ht="18" thickTop="1" thickBot="1">
      <c r="A43" s="206" t="s">
        <v>973</v>
      </c>
      <c r="B43" s="225"/>
      <c r="C43" s="226" t="s">
        <v>1105</v>
      </c>
      <c r="D43" s="227"/>
      <c r="E43" s="181" t="s">
        <v>1106</v>
      </c>
      <c r="F43" s="182"/>
      <c r="G43" s="181" t="s">
        <v>1107</v>
      </c>
      <c r="H43" s="183"/>
      <c r="I43" s="225"/>
      <c r="J43" s="226" t="s">
        <v>1108</v>
      </c>
      <c r="K43" s="227"/>
      <c r="L43" s="181" t="s">
        <v>1109</v>
      </c>
      <c r="M43" s="182"/>
      <c r="N43" s="181" t="s">
        <v>1110</v>
      </c>
      <c r="O43" s="183"/>
      <c r="P43" s="225"/>
      <c r="Q43" s="181" t="s">
        <v>1111</v>
      </c>
      <c r="R43" s="182"/>
      <c r="S43" s="181" t="s">
        <v>1111</v>
      </c>
      <c r="T43" s="182"/>
      <c r="U43" s="181" t="s">
        <v>1112</v>
      </c>
      <c r="V43" s="183"/>
      <c r="W43" s="215"/>
    </row>
    <row r="44" spans="1:30" ht="17" thickBot="1">
      <c r="A44" s="190"/>
      <c r="B44" s="83"/>
      <c r="C44" s="83"/>
      <c r="D44" s="191"/>
      <c r="E44" s="83"/>
      <c r="F44" s="192"/>
      <c r="G44" s="83"/>
      <c r="H44" s="192"/>
      <c r="I44" s="83"/>
      <c r="J44" s="83"/>
      <c r="K44" s="191"/>
      <c r="L44" s="83"/>
      <c r="M44" s="192"/>
      <c r="N44" s="83"/>
      <c r="O44" s="192"/>
      <c r="P44" s="83"/>
      <c r="Q44" s="83"/>
      <c r="R44" s="191"/>
      <c r="S44" s="83"/>
      <c r="T44" s="192"/>
      <c r="U44" s="83"/>
      <c r="V44" s="192"/>
      <c r="W44" s="83"/>
    </row>
    <row r="45" spans="1:30">
      <c r="A45" s="146" t="s">
        <v>70</v>
      </c>
      <c r="B45" s="217" t="s">
        <v>197</v>
      </c>
      <c r="C45" s="218"/>
      <c r="D45" s="218"/>
      <c r="E45" s="218"/>
      <c r="F45" s="218"/>
      <c r="G45" s="218"/>
      <c r="H45" s="219"/>
      <c r="I45" s="217" t="s">
        <v>1113</v>
      </c>
      <c r="J45" s="218"/>
      <c r="K45" s="218"/>
      <c r="L45" s="218"/>
      <c r="M45" s="218"/>
      <c r="N45" s="218"/>
      <c r="O45" s="219"/>
      <c r="P45" s="217" t="s">
        <v>199</v>
      </c>
      <c r="Q45" s="218"/>
      <c r="R45" s="218"/>
      <c r="S45" s="218"/>
      <c r="T45" s="218"/>
      <c r="U45" s="218"/>
      <c r="V45" s="219"/>
      <c r="W45" s="194" t="s">
        <v>143</v>
      </c>
    </row>
    <row r="46" spans="1:30">
      <c r="A46" s="150"/>
      <c r="B46" s="220"/>
      <c r="C46" s="221"/>
      <c r="D46" s="221"/>
      <c r="E46" s="221"/>
      <c r="F46" s="221"/>
      <c r="G46" s="221"/>
      <c r="H46" s="222"/>
      <c r="I46" s="220"/>
      <c r="J46" s="221"/>
      <c r="K46" s="221"/>
      <c r="L46" s="221"/>
      <c r="M46" s="221"/>
      <c r="N46" s="221"/>
      <c r="O46" s="222"/>
      <c r="P46" s="220"/>
      <c r="Q46" s="221"/>
      <c r="R46" s="221"/>
      <c r="S46" s="221"/>
      <c r="T46" s="221"/>
      <c r="U46" s="221"/>
      <c r="V46" s="222"/>
      <c r="W46" s="195"/>
    </row>
    <row r="47" spans="1:30">
      <c r="A47" s="153"/>
      <c r="B47" s="154" t="s">
        <v>202</v>
      </c>
      <c r="C47" s="89"/>
      <c r="D47" s="89"/>
      <c r="E47" s="89"/>
      <c r="F47" s="89"/>
      <c r="G47" s="89"/>
      <c r="H47" s="155"/>
      <c r="I47" s="154" t="s">
        <v>203</v>
      </c>
      <c r="J47" s="89"/>
      <c r="K47" s="89"/>
      <c r="L47" s="89"/>
      <c r="M47" s="89"/>
      <c r="N47" s="89"/>
      <c r="O47" s="155"/>
      <c r="P47" s="154" t="s">
        <v>204</v>
      </c>
      <c r="Q47" s="89"/>
      <c r="R47" s="89"/>
      <c r="S47" s="89"/>
      <c r="T47" s="89"/>
      <c r="U47" s="89"/>
      <c r="V47" s="155"/>
      <c r="W47" s="195"/>
    </row>
    <row r="48" spans="1:30">
      <c r="A48" s="156" t="s">
        <v>128</v>
      </c>
      <c r="B48" s="157" t="s">
        <v>0</v>
      </c>
      <c r="C48" s="160" t="s">
        <v>506</v>
      </c>
      <c r="D48" s="159" t="s">
        <v>949</v>
      </c>
      <c r="E48" s="160" t="s">
        <v>508</v>
      </c>
      <c r="F48" s="159" t="s">
        <v>950</v>
      </c>
      <c r="G48" s="160" t="s">
        <v>509</v>
      </c>
      <c r="H48" s="161" t="s">
        <v>951</v>
      </c>
      <c r="I48" s="157" t="s">
        <v>0</v>
      </c>
      <c r="J48" s="160" t="s">
        <v>506</v>
      </c>
      <c r="K48" s="159" t="s">
        <v>949</v>
      </c>
      <c r="L48" s="160" t="s">
        <v>508</v>
      </c>
      <c r="M48" s="159" t="s">
        <v>950</v>
      </c>
      <c r="N48" s="160" t="s">
        <v>509</v>
      </c>
      <c r="O48" s="161" t="s">
        <v>951</v>
      </c>
      <c r="P48" s="157" t="s">
        <v>0</v>
      </c>
      <c r="Q48" s="158" t="s">
        <v>506</v>
      </c>
      <c r="R48" s="159" t="s">
        <v>949</v>
      </c>
      <c r="S48" s="158" t="s">
        <v>508</v>
      </c>
      <c r="T48" s="159" t="s">
        <v>950</v>
      </c>
      <c r="U48" s="160" t="s">
        <v>509</v>
      </c>
      <c r="V48" s="161" t="s">
        <v>951</v>
      </c>
      <c r="W48" s="196"/>
    </row>
    <row r="49" spans="1:23">
      <c r="A49" s="163" t="s">
        <v>130</v>
      </c>
      <c r="B49" s="164">
        <v>8125</v>
      </c>
      <c r="C49" s="126">
        <v>8271</v>
      </c>
      <c r="D49" s="144" t="s">
        <v>860</v>
      </c>
      <c r="E49" s="122">
        <v>8202</v>
      </c>
      <c r="F49" s="23" t="s">
        <v>926</v>
      </c>
      <c r="G49" s="126" t="s">
        <v>1114</v>
      </c>
      <c r="H49" s="166">
        <v>0</v>
      </c>
      <c r="I49" s="164">
        <v>6989</v>
      </c>
      <c r="J49" s="126">
        <v>7498</v>
      </c>
      <c r="K49" s="144" t="s">
        <v>471</v>
      </c>
      <c r="L49" s="231">
        <v>8137</v>
      </c>
      <c r="M49" s="21">
        <v>0</v>
      </c>
      <c r="N49" s="126">
        <v>8119</v>
      </c>
      <c r="O49" s="165" t="s">
        <v>366</v>
      </c>
      <c r="P49" s="164">
        <v>9911</v>
      </c>
      <c r="Q49" s="122">
        <v>10426</v>
      </c>
      <c r="R49" s="144" t="s">
        <v>236</v>
      </c>
      <c r="S49" s="122">
        <v>10416</v>
      </c>
      <c r="T49" s="23">
        <v>0</v>
      </c>
      <c r="U49" s="126">
        <v>9981</v>
      </c>
      <c r="V49" s="165" t="s">
        <v>662</v>
      </c>
      <c r="W49" s="228">
        <v>8209</v>
      </c>
    </row>
    <row r="50" spans="1:23">
      <c r="A50" s="163" t="s">
        <v>497</v>
      </c>
      <c r="B50" s="164">
        <v>-3703</v>
      </c>
      <c r="C50" s="126">
        <v>-3988</v>
      </c>
      <c r="D50" s="144" t="s">
        <v>666</v>
      </c>
      <c r="E50" s="122" t="s">
        <v>1115</v>
      </c>
      <c r="F50" s="21">
        <v>0.09</v>
      </c>
      <c r="G50" s="126">
        <v>-3722</v>
      </c>
      <c r="H50" s="165" t="s">
        <v>1116</v>
      </c>
      <c r="I50" s="164">
        <v>-3827</v>
      </c>
      <c r="J50" s="126">
        <v>-4963</v>
      </c>
      <c r="K50" s="168">
        <v>0</v>
      </c>
      <c r="L50" s="231">
        <v>-4351</v>
      </c>
      <c r="M50" s="23" t="s">
        <v>236</v>
      </c>
      <c r="N50" s="126">
        <v>-4455</v>
      </c>
      <c r="O50" s="165" t="s">
        <v>259</v>
      </c>
      <c r="P50" s="167" t="s">
        <v>863</v>
      </c>
      <c r="Q50" s="122">
        <v>-3256</v>
      </c>
      <c r="R50" s="144" t="s">
        <v>864</v>
      </c>
      <c r="S50" s="122" t="s">
        <v>1117</v>
      </c>
      <c r="T50" s="23">
        <v>0.32</v>
      </c>
      <c r="U50" s="126">
        <v>-3407</v>
      </c>
      <c r="V50" s="165" t="s">
        <v>1118</v>
      </c>
      <c r="W50" s="167" t="s">
        <v>550</v>
      </c>
    </row>
    <row r="51" spans="1:23">
      <c r="A51" s="163" t="s">
        <v>551</v>
      </c>
      <c r="B51" s="167" t="s">
        <v>78</v>
      </c>
      <c r="C51" s="75" t="s">
        <v>737</v>
      </c>
      <c r="D51" s="144" t="s">
        <v>658</v>
      </c>
      <c r="E51" s="83" t="s">
        <v>78</v>
      </c>
      <c r="F51" s="23" t="s">
        <v>676</v>
      </c>
      <c r="G51" s="75" t="s">
        <v>12</v>
      </c>
      <c r="H51" s="165" t="s">
        <v>859</v>
      </c>
      <c r="I51" s="167" t="s">
        <v>75</v>
      </c>
      <c r="J51" s="75" t="s">
        <v>97</v>
      </c>
      <c r="K51" s="144" t="s">
        <v>299</v>
      </c>
      <c r="L51" s="232" t="s">
        <v>47</v>
      </c>
      <c r="M51" s="23" t="s">
        <v>369</v>
      </c>
      <c r="N51" s="75" t="s">
        <v>89</v>
      </c>
      <c r="O51" s="165" t="s">
        <v>275</v>
      </c>
      <c r="P51" s="167" t="s">
        <v>93</v>
      </c>
      <c r="Q51" s="83" t="s">
        <v>83</v>
      </c>
      <c r="R51" s="144" t="s">
        <v>467</v>
      </c>
      <c r="S51" s="83" t="s">
        <v>83</v>
      </c>
      <c r="T51" s="23" t="s">
        <v>284</v>
      </c>
      <c r="U51" s="75" t="s">
        <v>35</v>
      </c>
      <c r="V51" s="165">
        <v>0.19</v>
      </c>
      <c r="W51" s="167" t="s">
        <v>11</v>
      </c>
    </row>
    <row r="52" spans="1:23">
      <c r="A52" s="163" t="s">
        <v>132</v>
      </c>
      <c r="B52" s="167" t="s">
        <v>866</v>
      </c>
      <c r="C52" s="75" t="s">
        <v>867</v>
      </c>
      <c r="D52" s="168">
        <v>0</v>
      </c>
      <c r="E52" s="83" t="s">
        <v>1119</v>
      </c>
      <c r="F52" s="21">
        <v>0</v>
      </c>
      <c r="G52" s="75" t="s">
        <v>906</v>
      </c>
      <c r="H52" s="165" t="s">
        <v>256</v>
      </c>
      <c r="I52" s="167" t="s">
        <v>868</v>
      </c>
      <c r="J52" s="75" t="s">
        <v>869</v>
      </c>
      <c r="K52" s="144">
        <v>0</v>
      </c>
      <c r="L52" s="232" t="s">
        <v>829</v>
      </c>
      <c r="M52" s="23" t="s">
        <v>359</v>
      </c>
      <c r="N52" s="75" t="s">
        <v>1052</v>
      </c>
      <c r="O52" s="165" t="s">
        <v>245</v>
      </c>
      <c r="P52" s="167" t="s">
        <v>757</v>
      </c>
      <c r="Q52" s="83" t="s">
        <v>708</v>
      </c>
      <c r="R52" s="144" t="s">
        <v>244</v>
      </c>
      <c r="S52" s="83" t="s">
        <v>573</v>
      </c>
      <c r="T52" s="23" t="s">
        <v>244</v>
      </c>
      <c r="U52" s="75" t="s">
        <v>639</v>
      </c>
      <c r="V52" s="165" t="s">
        <v>421</v>
      </c>
      <c r="W52" s="167" t="s">
        <v>29</v>
      </c>
    </row>
    <row r="53" spans="1:23">
      <c r="A53" s="163" t="s">
        <v>133</v>
      </c>
      <c r="B53" s="167" t="s">
        <v>839</v>
      </c>
      <c r="C53" s="75" t="s">
        <v>115</v>
      </c>
      <c r="D53" s="144" t="s">
        <v>418</v>
      </c>
      <c r="E53" s="83" t="s">
        <v>1120</v>
      </c>
      <c r="F53" s="23" t="s">
        <v>434</v>
      </c>
      <c r="G53" s="75" t="s">
        <v>957</v>
      </c>
      <c r="H53" s="165" t="s">
        <v>240</v>
      </c>
      <c r="I53" s="167" t="s">
        <v>873</v>
      </c>
      <c r="J53" s="75" t="s">
        <v>874</v>
      </c>
      <c r="K53" s="144" t="s">
        <v>238</v>
      </c>
      <c r="L53" s="232" t="s">
        <v>873</v>
      </c>
      <c r="M53" s="23" t="s">
        <v>367</v>
      </c>
      <c r="N53" s="75" t="s">
        <v>869</v>
      </c>
      <c r="O53" s="165" t="s">
        <v>248</v>
      </c>
      <c r="P53" s="167" t="s">
        <v>757</v>
      </c>
      <c r="Q53" s="83" t="s">
        <v>875</v>
      </c>
      <c r="R53" s="144">
        <v>0</v>
      </c>
      <c r="S53" s="83" t="s">
        <v>1121</v>
      </c>
      <c r="T53" s="23">
        <v>0</v>
      </c>
      <c r="U53" s="75" t="s">
        <v>1122</v>
      </c>
      <c r="V53" s="165" t="s">
        <v>244</v>
      </c>
      <c r="W53" s="167" t="s">
        <v>30</v>
      </c>
    </row>
    <row r="54" spans="1:23">
      <c r="A54" s="163" t="s">
        <v>134</v>
      </c>
      <c r="B54" s="167" t="s">
        <v>78</v>
      </c>
      <c r="C54" s="75" t="s">
        <v>21</v>
      </c>
      <c r="D54" s="144" t="s">
        <v>419</v>
      </c>
      <c r="E54" s="83" t="s">
        <v>21</v>
      </c>
      <c r="F54" s="23" t="s">
        <v>796</v>
      </c>
      <c r="G54" s="75" t="s">
        <v>744</v>
      </c>
      <c r="H54" s="165" t="s">
        <v>1123</v>
      </c>
      <c r="I54" s="167" t="s">
        <v>651</v>
      </c>
      <c r="J54" s="75" t="s">
        <v>737</v>
      </c>
      <c r="K54" s="168">
        <v>0.09</v>
      </c>
      <c r="L54" s="232" t="s">
        <v>22</v>
      </c>
      <c r="M54" s="23" t="s">
        <v>546</v>
      </c>
      <c r="N54" s="75" t="s">
        <v>744</v>
      </c>
      <c r="O54" s="165" t="s">
        <v>413</v>
      </c>
      <c r="P54" s="167" t="s">
        <v>27</v>
      </c>
      <c r="Q54" s="83" t="s">
        <v>617</v>
      </c>
      <c r="R54" s="144" t="s">
        <v>305</v>
      </c>
      <c r="S54" s="83" t="s">
        <v>581</v>
      </c>
      <c r="T54" s="23" t="s">
        <v>421</v>
      </c>
      <c r="U54" s="75" t="s">
        <v>41</v>
      </c>
      <c r="V54" s="165" t="s">
        <v>266</v>
      </c>
      <c r="W54" s="167" t="s">
        <v>31</v>
      </c>
    </row>
    <row r="55" spans="1:23">
      <c r="A55" s="163" t="s">
        <v>135</v>
      </c>
      <c r="B55" s="167" t="s">
        <v>623</v>
      </c>
      <c r="C55" s="75" t="s">
        <v>24</v>
      </c>
      <c r="D55" s="144" t="s">
        <v>256</v>
      </c>
      <c r="E55" s="83" t="s">
        <v>97</v>
      </c>
      <c r="F55" s="23" t="s">
        <v>413</v>
      </c>
      <c r="G55" s="75" t="s">
        <v>24</v>
      </c>
      <c r="H55" s="165" t="s">
        <v>940</v>
      </c>
      <c r="I55" s="167" t="s">
        <v>879</v>
      </c>
      <c r="J55" s="75" t="s">
        <v>880</v>
      </c>
      <c r="K55" s="144" t="s">
        <v>768</v>
      </c>
      <c r="L55" s="232" t="s">
        <v>556</v>
      </c>
      <c r="M55" s="23" t="s">
        <v>238</v>
      </c>
      <c r="N55" s="75" t="s">
        <v>709</v>
      </c>
      <c r="O55" s="165" t="s">
        <v>416</v>
      </c>
      <c r="P55" s="167" t="s">
        <v>881</v>
      </c>
      <c r="Q55" s="83" t="s">
        <v>751</v>
      </c>
      <c r="R55" s="144">
        <v>0</v>
      </c>
      <c r="S55" s="83" t="s">
        <v>704</v>
      </c>
      <c r="T55" s="23" t="s">
        <v>545</v>
      </c>
      <c r="U55" s="126" t="s">
        <v>957</v>
      </c>
      <c r="V55" s="165" t="s">
        <v>591</v>
      </c>
      <c r="W55" s="167" t="s">
        <v>32</v>
      </c>
    </row>
    <row r="56" spans="1:23">
      <c r="A56" s="163" t="s">
        <v>136</v>
      </c>
      <c r="B56" s="164">
        <v>2115</v>
      </c>
      <c r="C56" s="126">
        <v>1612</v>
      </c>
      <c r="D56" s="144" t="s">
        <v>385</v>
      </c>
      <c r="E56" s="122">
        <v>1624</v>
      </c>
      <c r="F56" s="23" t="s">
        <v>256</v>
      </c>
      <c r="G56" s="126">
        <v>1782</v>
      </c>
      <c r="H56" s="165" t="s">
        <v>273</v>
      </c>
      <c r="I56" s="164">
        <v>2115</v>
      </c>
      <c r="J56" s="75" t="s">
        <v>884</v>
      </c>
      <c r="K56" s="144" t="s">
        <v>885</v>
      </c>
      <c r="L56" s="231">
        <v>1728</v>
      </c>
      <c r="M56" s="23" t="s">
        <v>366</v>
      </c>
      <c r="N56" s="126">
        <v>1689</v>
      </c>
      <c r="O56" s="165" t="s">
        <v>287</v>
      </c>
      <c r="P56" s="164">
        <v>2651</v>
      </c>
      <c r="Q56" s="122">
        <v>1994</v>
      </c>
      <c r="R56" s="144" t="s">
        <v>386</v>
      </c>
      <c r="S56" s="122">
        <v>1992</v>
      </c>
      <c r="T56" s="23" t="s">
        <v>461</v>
      </c>
      <c r="U56" s="126">
        <v>2006</v>
      </c>
      <c r="V56" s="165" t="s">
        <v>1124</v>
      </c>
      <c r="W56" s="164">
        <v>1044</v>
      </c>
    </row>
    <row r="57" spans="1:23">
      <c r="A57" s="163" t="s">
        <v>498</v>
      </c>
      <c r="B57" s="164">
        <v>10854</v>
      </c>
      <c r="C57" s="126">
        <v>11205</v>
      </c>
      <c r="D57" s="168">
        <v>0</v>
      </c>
      <c r="E57" s="122">
        <v>11164</v>
      </c>
      <c r="F57" s="23" t="s">
        <v>399</v>
      </c>
      <c r="G57" s="126">
        <v>11607</v>
      </c>
      <c r="H57" s="165" t="s">
        <v>240</v>
      </c>
      <c r="I57" s="164">
        <v>9901</v>
      </c>
      <c r="J57" s="126">
        <v>11352</v>
      </c>
      <c r="K57" s="144" t="s">
        <v>240</v>
      </c>
      <c r="L57" s="231">
        <v>11455</v>
      </c>
      <c r="M57" s="21">
        <v>0</v>
      </c>
      <c r="N57" s="126">
        <v>11465</v>
      </c>
      <c r="O57" s="166">
        <v>0</v>
      </c>
      <c r="P57" s="164">
        <v>12144</v>
      </c>
      <c r="Q57" s="122">
        <v>12546</v>
      </c>
      <c r="R57" s="144">
        <v>0</v>
      </c>
      <c r="S57" s="122">
        <v>12511</v>
      </c>
      <c r="T57" s="23">
        <v>0</v>
      </c>
      <c r="U57" s="126">
        <v>12202</v>
      </c>
      <c r="V57" s="165" t="s">
        <v>795</v>
      </c>
      <c r="W57" s="164">
        <v>11827</v>
      </c>
    </row>
    <row r="58" spans="1:23">
      <c r="A58" s="163" t="s">
        <v>137</v>
      </c>
      <c r="B58" s="167" t="s">
        <v>762</v>
      </c>
      <c r="C58" s="75" t="s">
        <v>887</v>
      </c>
      <c r="D58" s="168">
        <v>0</v>
      </c>
      <c r="E58" s="83" t="s">
        <v>1125</v>
      </c>
      <c r="F58" s="21">
        <v>0</v>
      </c>
      <c r="G58" s="75" t="s">
        <v>1023</v>
      </c>
      <c r="H58" s="165" t="s">
        <v>256</v>
      </c>
      <c r="I58" s="167" t="s">
        <v>758</v>
      </c>
      <c r="J58" s="75" t="s">
        <v>730</v>
      </c>
      <c r="K58" s="168">
        <v>0</v>
      </c>
      <c r="L58" s="232" t="s">
        <v>832</v>
      </c>
      <c r="M58" s="23" t="s">
        <v>610</v>
      </c>
      <c r="N58" s="75" t="s">
        <v>754</v>
      </c>
      <c r="O58" s="165" t="s">
        <v>266</v>
      </c>
      <c r="P58" s="167" t="s">
        <v>664</v>
      </c>
      <c r="Q58" s="83" t="s">
        <v>888</v>
      </c>
      <c r="R58" s="144">
        <v>0</v>
      </c>
      <c r="S58" s="83" t="s">
        <v>965</v>
      </c>
      <c r="T58" s="23">
        <v>0</v>
      </c>
      <c r="U58" s="75" t="s">
        <v>1126</v>
      </c>
      <c r="V58" s="165" t="s">
        <v>256</v>
      </c>
      <c r="W58" s="167" t="s">
        <v>33</v>
      </c>
    </row>
    <row r="59" spans="1:23">
      <c r="A59" s="163" t="s">
        <v>138</v>
      </c>
      <c r="B59" s="167" t="s">
        <v>892</v>
      </c>
      <c r="C59" s="75" t="s">
        <v>684</v>
      </c>
      <c r="D59" s="144" t="s">
        <v>369</v>
      </c>
      <c r="E59" s="83" t="s">
        <v>878</v>
      </c>
      <c r="F59" s="23" t="s">
        <v>429</v>
      </c>
      <c r="G59" s="126" t="s">
        <v>559</v>
      </c>
      <c r="H59" s="165" t="s">
        <v>236</v>
      </c>
      <c r="I59" s="167" t="s">
        <v>81</v>
      </c>
      <c r="J59" s="75" t="s">
        <v>12</v>
      </c>
      <c r="K59" s="144" t="s">
        <v>401</v>
      </c>
      <c r="L59" s="232" t="s">
        <v>737</v>
      </c>
      <c r="M59" s="23" t="s">
        <v>238</v>
      </c>
      <c r="N59" s="126" t="s">
        <v>12</v>
      </c>
      <c r="O59" s="165" t="s">
        <v>840</v>
      </c>
      <c r="P59" s="167" t="s">
        <v>25</v>
      </c>
      <c r="Q59" s="83" t="s">
        <v>656</v>
      </c>
      <c r="R59" s="144" t="s">
        <v>261</v>
      </c>
      <c r="S59" s="83" t="s">
        <v>625</v>
      </c>
      <c r="T59" s="23" t="s">
        <v>611</v>
      </c>
      <c r="U59" s="126" t="s">
        <v>110</v>
      </c>
      <c r="V59" s="165" t="s">
        <v>256</v>
      </c>
      <c r="W59" s="167" t="s">
        <v>34</v>
      </c>
    </row>
    <row r="60" spans="1:23">
      <c r="A60" s="163" t="s">
        <v>139</v>
      </c>
      <c r="B60" s="164">
        <v>3648</v>
      </c>
      <c r="C60" s="126">
        <v>3614</v>
      </c>
      <c r="D60" s="144" t="s">
        <v>584</v>
      </c>
      <c r="E60" s="122">
        <v>3622</v>
      </c>
      <c r="F60" s="23" t="s">
        <v>575</v>
      </c>
      <c r="G60" s="126">
        <v>3626</v>
      </c>
      <c r="H60" s="165" t="s">
        <v>761</v>
      </c>
      <c r="I60" s="164">
        <v>3789</v>
      </c>
      <c r="J60" s="126">
        <v>3756</v>
      </c>
      <c r="K60" s="144" t="s">
        <v>894</v>
      </c>
      <c r="L60" s="231">
        <v>3734</v>
      </c>
      <c r="M60" s="23" t="s">
        <v>885</v>
      </c>
      <c r="N60" s="126">
        <v>3762</v>
      </c>
      <c r="O60" s="165" t="s">
        <v>357</v>
      </c>
      <c r="P60" s="164">
        <v>3574</v>
      </c>
      <c r="Q60" s="122">
        <v>3606</v>
      </c>
      <c r="R60" s="144" t="s">
        <v>648</v>
      </c>
      <c r="S60" s="122">
        <v>3605</v>
      </c>
      <c r="T60" s="23">
        <v>0.12</v>
      </c>
      <c r="U60" s="126">
        <v>3594</v>
      </c>
      <c r="V60" s="165" t="s">
        <v>802</v>
      </c>
      <c r="W60" s="164">
        <v>3568</v>
      </c>
    </row>
    <row r="61" spans="1:23">
      <c r="A61" s="163" t="s">
        <v>140</v>
      </c>
      <c r="B61" s="167" t="s">
        <v>35</v>
      </c>
      <c r="C61" s="75" t="s">
        <v>895</v>
      </c>
      <c r="D61" s="144" t="s">
        <v>256</v>
      </c>
      <c r="E61" s="83" t="s">
        <v>970</v>
      </c>
      <c r="F61" s="199" t="s">
        <v>970</v>
      </c>
      <c r="G61" s="75" t="s">
        <v>970</v>
      </c>
      <c r="H61" s="165" t="s">
        <v>970</v>
      </c>
      <c r="I61" s="167" t="s">
        <v>77</v>
      </c>
      <c r="J61" s="75" t="s">
        <v>73</v>
      </c>
      <c r="K61" s="144" t="s">
        <v>896</v>
      </c>
      <c r="L61" s="233" t="s">
        <v>970</v>
      </c>
      <c r="M61" s="234" t="s">
        <v>970</v>
      </c>
      <c r="N61" s="75" t="s">
        <v>970</v>
      </c>
      <c r="O61" s="165" t="s">
        <v>970</v>
      </c>
      <c r="P61" s="167" t="s">
        <v>850</v>
      </c>
      <c r="Q61" s="83" t="s">
        <v>710</v>
      </c>
      <c r="R61" s="144" t="s">
        <v>369</v>
      </c>
      <c r="S61" s="169" t="s">
        <v>970</v>
      </c>
      <c r="T61" s="169" t="s">
        <v>970</v>
      </c>
      <c r="U61" s="75" t="s">
        <v>970</v>
      </c>
      <c r="V61" s="165" t="s">
        <v>970</v>
      </c>
      <c r="W61" s="167" t="s">
        <v>35</v>
      </c>
    </row>
    <row r="62" spans="1:23">
      <c r="A62" s="163" t="s">
        <v>141</v>
      </c>
      <c r="B62" s="167" t="s">
        <v>35</v>
      </c>
      <c r="C62" s="75" t="s">
        <v>92</v>
      </c>
      <c r="D62" s="144" t="s">
        <v>565</v>
      </c>
      <c r="E62" s="83" t="s">
        <v>970</v>
      </c>
      <c r="F62" s="199" t="s">
        <v>970</v>
      </c>
      <c r="G62" s="75" t="s">
        <v>970</v>
      </c>
      <c r="H62" s="165" t="s">
        <v>970</v>
      </c>
      <c r="I62" s="167" t="s">
        <v>77</v>
      </c>
      <c r="J62" s="75" t="s">
        <v>95</v>
      </c>
      <c r="K62" s="144" t="s">
        <v>265</v>
      </c>
      <c r="L62" s="233" t="s">
        <v>970</v>
      </c>
      <c r="M62" s="234" t="s">
        <v>970</v>
      </c>
      <c r="N62" s="75" t="s">
        <v>970</v>
      </c>
      <c r="O62" s="165" t="s">
        <v>970</v>
      </c>
      <c r="P62" s="167" t="s">
        <v>617</v>
      </c>
      <c r="Q62" s="83" t="s">
        <v>92</v>
      </c>
      <c r="R62" s="144" t="s">
        <v>692</v>
      </c>
      <c r="S62" s="169" t="s">
        <v>970</v>
      </c>
      <c r="T62" s="169" t="s">
        <v>970</v>
      </c>
      <c r="U62" s="75" t="s">
        <v>970</v>
      </c>
      <c r="V62" s="165" t="s">
        <v>970</v>
      </c>
      <c r="W62" s="167" t="s">
        <v>36</v>
      </c>
    </row>
    <row r="63" spans="1:23">
      <c r="A63" s="163" t="s">
        <v>1085</v>
      </c>
      <c r="B63" s="167" t="s">
        <v>9</v>
      </c>
      <c r="C63" s="75" t="s">
        <v>970</v>
      </c>
      <c r="D63" s="144" t="s">
        <v>970</v>
      </c>
      <c r="E63" s="83" t="s">
        <v>88</v>
      </c>
      <c r="F63" s="23" t="s">
        <v>372</v>
      </c>
      <c r="G63" s="75" t="s">
        <v>970</v>
      </c>
      <c r="H63" s="135" t="s">
        <v>970</v>
      </c>
      <c r="I63" s="167" t="s">
        <v>88</v>
      </c>
      <c r="J63" s="75" t="s">
        <v>970</v>
      </c>
      <c r="K63" s="144" t="s">
        <v>970</v>
      </c>
      <c r="L63" s="232" t="s">
        <v>102</v>
      </c>
      <c r="M63" s="23" t="s">
        <v>386</v>
      </c>
      <c r="N63" s="75" t="s">
        <v>970</v>
      </c>
      <c r="O63" s="135" t="s">
        <v>970</v>
      </c>
      <c r="P63" s="167" t="s">
        <v>13</v>
      </c>
      <c r="Q63" s="83" t="s">
        <v>970</v>
      </c>
      <c r="R63" s="144" t="s">
        <v>970</v>
      </c>
      <c r="S63" s="83" t="s">
        <v>4</v>
      </c>
      <c r="T63" s="23" t="s">
        <v>271</v>
      </c>
      <c r="U63" s="75" t="s">
        <v>970</v>
      </c>
      <c r="V63" s="135" t="s">
        <v>970</v>
      </c>
      <c r="W63" s="167" t="s">
        <v>18</v>
      </c>
    </row>
    <row r="64" spans="1:23" ht="17" thickBot="1">
      <c r="A64" s="206" t="s">
        <v>142</v>
      </c>
      <c r="B64" s="202" t="s">
        <v>12</v>
      </c>
      <c r="C64" s="80" t="s">
        <v>41</v>
      </c>
      <c r="D64" s="175" t="s">
        <v>375</v>
      </c>
      <c r="E64" s="81" t="s">
        <v>745</v>
      </c>
      <c r="F64" s="176" t="s">
        <v>275</v>
      </c>
      <c r="G64" s="80" t="s">
        <v>970</v>
      </c>
      <c r="H64" s="177" t="s">
        <v>970</v>
      </c>
      <c r="I64" s="202" t="s">
        <v>99</v>
      </c>
      <c r="J64" s="80" t="s">
        <v>2</v>
      </c>
      <c r="K64" s="175" t="s">
        <v>558</v>
      </c>
      <c r="L64" s="13" t="s">
        <v>104</v>
      </c>
      <c r="M64" s="176" t="s">
        <v>259</v>
      </c>
      <c r="N64" s="80" t="s">
        <v>970</v>
      </c>
      <c r="O64" s="177" t="s">
        <v>970</v>
      </c>
      <c r="P64" s="202" t="s">
        <v>581</v>
      </c>
      <c r="Q64" s="81" t="s">
        <v>41</v>
      </c>
      <c r="R64" s="175" t="s">
        <v>367</v>
      </c>
      <c r="S64" s="81" t="s">
        <v>781</v>
      </c>
      <c r="T64" s="176" t="s">
        <v>301</v>
      </c>
      <c r="U64" s="80" t="s">
        <v>970</v>
      </c>
      <c r="V64" s="177" t="s">
        <v>970</v>
      </c>
      <c r="W64" s="167" t="s">
        <v>38</v>
      </c>
    </row>
    <row r="65" spans="1:35" ht="18" thickTop="1" thickBot="1">
      <c r="A65" s="206" t="s">
        <v>973</v>
      </c>
      <c r="B65" s="225"/>
      <c r="C65" s="226" t="s">
        <v>1127</v>
      </c>
      <c r="D65" s="227"/>
      <c r="E65" s="181" t="s">
        <v>981</v>
      </c>
      <c r="F65" s="182"/>
      <c r="G65" s="181" t="s">
        <v>1128</v>
      </c>
      <c r="H65" s="183"/>
      <c r="I65" s="225"/>
      <c r="J65" s="226" t="s">
        <v>1129</v>
      </c>
      <c r="K65" s="227"/>
      <c r="L65" s="181" t="s">
        <v>1130</v>
      </c>
      <c r="M65" s="182"/>
      <c r="N65" s="181" t="s">
        <v>1131</v>
      </c>
      <c r="O65" s="189"/>
      <c r="P65" s="225"/>
      <c r="Q65" s="226" t="s">
        <v>1132</v>
      </c>
      <c r="R65" s="227"/>
      <c r="S65" s="181" t="s">
        <v>1133</v>
      </c>
      <c r="T65" s="182"/>
      <c r="U65" s="181" t="s">
        <v>1134</v>
      </c>
      <c r="V65" s="183"/>
      <c r="W65" s="215"/>
    </row>
    <row r="66" spans="1:35" s="83" customFormat="1" thickBot="1"/>
    <row r="67" spans="1:35" s="83" customFormat="1" ht="15">
      <c r="A67" s="146" t="s">
        <v>70</v>
      </c>
      <c r="B67" s="217" t="s">
        <v>200</v>
      </c>
      <c r="C67" s="218"/>
      <c r="D67" s="218"/>
      <c r="E67" s="218"/>
      <c r="F67" s="218"/>
      <c r="G67" s="218"/>
      <c r="H67" s="219"/>
      <c r="I67" s="217" t="s">
        <v>201</v>
      </c>
      <c r="J67" s="218"/>
      <c r="K67" s="218"/>
      <c r="L67" s="218"/>
      <c r="M67" s="218"/>
      <c r="N67" s="218"/>
      <c r="O67" s="219"/>
      <c r="P67" s="217" t="s">
        <v>1135</v>
      </c>
      <c r="Q67" s="218"/>
      <c r="R67" s="218"/>
      <c r="S67" s="218"/>
      <c r="T67" s="218"/>
      <c r="U67" s="218"/>
      <c r="V67" s="219"/>
      <c r="W67" s="194" t="s">
        <v>143</v>
      </c>
    </row>
    <row r="68" spans="1:35" s="83" customFormat="1" ht="15">
      <c r="A68" s="150"/>
      <c r="B68" s="220"/>
      <c r="C68" s="221"/>
      <c r="D68" s="221"/>
      <c r="E68" s="221"/>
      <c r="F68" s="221"/>
      <c r="G68" s="221"/>
      <c r="H68" s="222"/>
      <c r="I68" s="220"/>
      <c r="J68" s="221"/>
      <c r="K68" s="221"/>
      <c r="L68" s="221"/>
      <c r="M68" s="221"/>
      <c r="N68" s="221"/>
      <c r="O68" s="222"/>
      <c r="P68" s="220"/>
      <c r="Q68" s="221"/>
      <c r="R68" s="221"/>
      <c r="S68" s="221"/>
      <c r="T68" s="221"/>
      <c r="U68" s="221"/>
      <c r="V68" s="222"/>
      <c r="W68" s="195"/>
      <c r="X68" s="122"/>
      <c r="Y68" s="122"/>
      <c r="Z68" s="122"/>
      <c r="AB68" s="23"/>
      <c r="AE68" s="122"/>
      <c r="AF68" s="122"/>
      <c r="AG68" s="122"/>
      <c r="AI68" s="23"/>
    </row>
    <row r="69" spans="1:35" s="83" customFormat="1" ht="15">
      <c r="A69" s="153"/>
      <c r="B69" s="154" t="s">
        <v>205</v>
      </c>
      <c r="C69" s="89"/>
      <c r="D69" s="89"/>
      <c r="E69" s="89"/>
      <c r="F69" s="89"/>
      <c r="G69" s="89"/>
      <c r="H69" s="155"/>
      <c r="I69" s="154" t="s">
        <v>206</v>
      </c>
      <c r="J69" s="89"/>
      <c r="K69" s="89"/>
      <c r="L69" s="89"/>
      <c r="M69" s="89"/>
      <c r="N69" s="89"/>
      <c r="O69" s="155"/>
      <c r="P69" s="154" t="s">
        <v>207</v>
      </c>
      <c r="Q69" s="89"/>
      <c r="R69" s="89"/>
      <c r="S69" s="89"/>
      <c r="T69" s="89"/>
      <c r="U69" s="89"/>
      <c r="V69" s="155"/>
      <c r="W69" s="195"/>
      <c r="X69" s="122"/>
      <c r="Y69" s="122"/>
      <c r="Z69" s="122"/>
      <c r="AB69" s="23"/>
      <c r="AE69" s="122"/>
      <c r="AF69" s="122"/>
      <c r="AG69" s="122"/>
      <c r="AI69" s="23"/>
    </row>
    <row r="70" spans="1:35" s="83" customFormat="1" ht="15">
      <c r="A70" s="156" t="s">
        <v>128</v>
      </c>
      <c r="B70" s="157" t="s">
        <v>0</v>
      </c>
      <c r="C70" s="158" t="s">
        <v>506</v>
      </c>
      <c r="D70" s="159" t="s">
        <v>949</v>
      </c>
      <c r="E70" s="160" t="s">
        <v>508</v>
      </c>
      <c r="F70" s="159" t="s">
        <v>950</v>
      </c>
      <c r="G70" s="160" t="s">
        <v>509</v>
      </c>
      <c r="H70" s="161" t="s">
        <v>951</v>
      </c>
      <c r="I70" s="157" t="s">
        <v>0</v>
      </c>
      <c r="J70" s="158" t="s">
        <v>506</v>
      </c>
      <c r="K70" s="159" t="s">
        <v>949</v>
      </c>
      <c r="L70" s="160" t="s">
        <v>508</v>
      </c>
      <c r="M70" s="159" t="s">
        <v>950</v>
      </c>
      <c r="N70" s="160" t="s">
        <v>509</v>
      </c>
      <c r="O70" s="161" t="s">
        <v>951</v>
      </c>
      <c r="P70" s="157" t="s">
        <v>0</v>
      </c>
      <c r="Q70" s="158" t="s">
        <v>506</v>
      </c>
      <c r="R70" s="159" t="s">
        <v>949</v>
      </c>
      <c r="S70" s="160" t="s">
        <v>508</v>
      </c>
      <c r="T70" s="159" t="s">
        <v>950</v>
      </c>
      <c r="U70" s="160" t="s">
        <v>509</v>
      </c>
      <c r="V70" s="161" t="s">
        <v>951</v>
      </c>
      <c r="W70" s="196"/>
      <c r="AB70" s="23"/>
      <c r="AI70" s="23"/>
    </row>
    <row r="71" spans="1:35" s="83" customFormat="1" ht="15">
      <c r="A71" s="163" t="s">
        <v>130</v>
      </c>
      <c r="B71" s="164">
        <v>8414</v>
      </c>
      <c r="C71" s="122">
        <v>8712</v>
      </c>
      <c r="D71" s="144" t="s">
        <v>268</v>
      </c>
      <c r="E71" s="122">
        <v>8448</v>
      </c>
      <c r="F71" s="23" t="s">
        <v>407</v>
      </c>
      <c r="G71" s="126">
        <v>8385</v>
      </c>
      <c r="H71" s="165" t="s">
        <v>279</v>
      </c>
      <c r="I71" s="164">
        <v>7867</v>
      </c>
      <c r="J71" s="122">
        <v>7991</v>
      </c>
      <c r="K71" s="144" t="s">
        <v>861</v>
      </c>
      <c r="L71" s="122">
        <v>7963</v>
      </c>
      <c r="M71" s="23" t="s">
        <v>682</v>
      </c>
      <c r="N71" s="126">
        <v>7991</v>
      </c>
      <c r="O71" s="165" t="s">
        <v>286</v>
      </c>
      <c r="P71" s="164">
        <v>8322</v>
      </c>
      <c r="Q71" s="83" t="s">
        <v>862</v>
      </c>
      <c r="R71" s="168">
        <v>0</v>
      </c>
      <c r="S71" s="122">
        <v>10548</v>
      </c>
      <c r="T71" s="21">
        <v>0</v>
      </c>
      <c r="U71" s="126">
        <v>10468</v>
      </c>
      <c r="V71" s="166">
        <v>0</v>
      </c>
      <c r="W71" s="228">
        <v>8209</v>
      </c>
      <c r="AB71" s="23"/>
      <c r="AI71" s="23"/>
    </row>
    <row r="72" spans="1:35" s="83" customFormat="1" ht="15">
      <c r="A72" s="163" t="s">
        <v>497</v>
      </c>
      <c r="B72" s="164">
        <v>-3768</v>
      </c>
      <c r="C72" s="122">
        <v>-3923</v>
      </c>
      <c r="D72" s="144" t="s">
        <v>361</v>
      </c>
      <c r="E72" s="122" t="s">
        <v>1136</v>
      </c>
      <c r="F72" s="21">
        <v>0</v>
      </c>
      <c r="G72" s="126">
        <v>-4149</v>
      </c>
      <c r="H72" s="165" t="s">
        <v>468</v>
      </c>
      <c r="I72" s="164">
        <v>-3819</v>
      </c>
      <c r="J72" s="122">
        <v>-4468</v>
      </c>
      <c r="K72" s="168">
        <v>0</v>
      </c>
      <c r="L72" s="122">
        <v>-4398</v>
      </c>
      <c r="M72" s="23" t="s">
        <v>429</v>
      </c>
      <c r="N72" s="126">
        <v>-4432</v>
      </c>
      <c r="O72" s="165" t="s">
        <v>468</v>
      </c>
      <c r="P72" s="164">
        <v>-3224</v>
      </c>
      <c r="Q72" s="122">
        <v>-3228</v>
      </c>
      <c r="R72" s="144" t="s">
        <v>865</v>
      </c>
      <c r="S72" s="83" t="s">
        <v>1137</v>
      </c>
      <c r="T72" s="23" t="s">
        <v>1138</v>
      </c>
      <c r="U72" s="126">
        <v>-3232</v>
      </c>
      <c r="V72" s="166">
        <v>0.34</v>
      </c>
      <c r="W72" s="167" t="s">
        <v>550</v>
      </c>
      <c r="AB72" s="23"/>
      <c r="AI72" s="23"/>
    </row>
    <row r="73" spans="1:35" s="83" customFormat="1" ht="15">
      <c r="A73" s="163" t="s">
        <v>551</v>
      </c>
      <c r="B73" s="167" t="s">
        <v>4</v>
      </c>
      <c r="C73" s="83" t="s">
        <v>557</v>
      </c>
      <c r="D73" s="144" t="s">
        <v>271</v>
      </c>
      <c r="E73" s="83" t="s">
        <v>84</v>
      </c>
      <c r="F73" s="23" t="s">
        <v>816</v>
      </c>
      <c r="G73" s="75" t="s">
        <v>36</v>
      </c>
      <c r="H73" s="165" t="s">
        <v>1139</v>
      </c>
      <c r="I73" s="167" t="s">
        <v>10</v>
      </c>
      <c r="J73" s="83" t="s">
        <v>21</v>
      </c>
      <c r="K73" s="144" t="s">
        <v>367</v>
      </c>
      <c r="L73" s="83" t="s">
        <v>39</v>
      </c>
      <c r="M73" s="23" t="s">
        <v>459</v>
      </c>
      <c r="N73" s="75" t="s">
        <v>620</v>
      </c>
      <c r="O73" s="165" t="s">
        <v>458</v>
      </c>
      <c r="P73" s="167" t="s">
        <v>109</v>
      </c>
      <c r="Q73" s="83" t="s">
        <v>679</v>
      </c>
      <c r="R73" s="144" t="s">
        <v>385</v>
      </c>
      <c r="S73" s="83" t="s">
        <v>792</v>
      </c>
      <c r="T73" s="23" t="s">
        <v>272</v>
      </c>
      <c r="U73" s="75" t="s">
        <v>83</v>
      </c>
      <c r="V73" s="165" t="s">
        <v>411</v>
      </c>
      <c r="W73" s="167" t="s">
        <v>11</v>
      </c>
      <c r="AB73" s="23"/>
      <c r="AI73" s="23"/>
    </row>
    <row r="74" spans="1:35" s="83" customFormat="1" ht="15">
      <c r="A74" s="163" t="s">
        <v>132</v>
      </c>
      <c r="B74" s="167" t="s">
        <v>870</v>
      </c>
      <c r="C74" s="83" t="s">
        <v>871</v>
      </c>
      <c r="D74" s="144" t="s">
        <v>301</v>
      </c>
      <c r="E74" s="83" t="s">
        <v>1140</v>
      </c>
      <c r="F74" s="23" t="s">
        <v>474</v>
      </c>
      <c r="G74" s="75" t="s">
        <v>750</v>
      </c>
      <c r="H74" s="165" t="s">
        <v>257</v>
      </c>
      <c r="I74" s="167" t="s">
        <v>694</v>
      </c>
      <c r="J74" s="83" t="s">
        <v>872</v>
      </c>
      <c r="K74" s="168">
        <v>0</v>
      </c>
      <c r="L74" s="83" t="s">
        <v>758</v>
      </c>
      <c r="M74" s="21">
        <v>0</v>
      </c>
      <c r="N74" s="75" t="s">
        <v>693</v>
      </c>
      <c r="O74" s="166">
        <v>0.08</v>
      </c>
      <c r="P74" s="167" t="s">
        <v>650</v>
      </c>
      <c r="Q74" s="83" t="s">
        <v>649</v>
      </c>
      <c r="R74" s="168">
        <v>0</v>
      </c>
      <c r="S74" s="83" t="s">
        <v>650</v>
      </c>
      <c r="T74" s="23" t="s">
        <v>430</v>
      </c>
      <c r="U74" s="75" t="s">
        <v>1141</v>
      </c>
      <c r="V74" s="165" t="s">
        <v>658</v>
      </c>
      <c r="W74" s="167" t="s">
        <v>29</v>
      </c>
      <c r="AB74" s="23"/>
      <c r="AI74" s="23"/>
    </row>
    <row r="75" spans="1:35" s="83" customFormat="1" ht="15">
      <c r="A75" s="163" t="s">
        <v>133</v>
      </c>
      <c r="B75" s="167" t="s">
        <v>30</v>
      </c>
      <c r="C75" s="83" t="s">
        <v>876</v>
      </c>
      <c r="D75" s="168">
        <v>0.1</v>
      </c>
      <c r="E75" s="83" t="s">
        <v>30</v>
      </c>
      <c r="F75" s="23" t="s">
        <v>597</v>
      </c>
      <c r="G75" s="75" t="s">
        <v>1142</v>
      </c>
      <c r="H75" s="165" t="s">
        <v>278</v>
      </c>
      <c r="I75" s="167" t="s">
        <v>586</v>
      </c>
      <c r="J75" s="83" t="s">
        <v>583</v>
      </c>
      <c r="K75" s="144" t="s">
        <v>642</v>
      </c>
      <c r="L75" s="83" t="s">
        <v>560</v>
      </c>
      <c r="M75" s="23" t="s">
        <v>367</v>
      </c>
      <c r="N75" s="75" t="s">
        <v>115</v>
      </c>
      <c r="O75" s="165" t="s">
        <v>553</v>
      </c>
      <c r="P75" s="167" t="s">
        <v>747</v>
      </c>
      <c r="Q75" s="83" t="s">
        <v>877</v>
      </c>
      <c r="R75" s="168">
        <v>0.06</v>
      </c>
      <c r="S75" s="83" t="s">
        <v>835</v>
      </c>
      <c r="T75" s="23" t="s">
        <v>673</v>
      </c>
      <c r="U75" s="75" t="s">
        <v>835</v>
      </c>
      <c r="V75" s="165" t="s">
        <v>295</v>
      </c>
      <c r="W75" s="167" t="s">
        <v>30</v>
      </c>
      <c r="X75" s="122"/>
      <c r="Y75" s="122"/>
      <c r="Z75" s="122"/>
      <c r="AB75" s="23"/>
      <c r="AE75" s="122"/>
      <c r="AF75" s="122"/>
      <c r="AG75" s="122"/>
      <c r="AI75" s="23"/>
    </row>
    <row r="76" spans="1:35" s="83" customFormat="1" ht="15">
      <c r="A76" s="163" t="s">
        <v>134</v>
      </c>
      <c r="B76" s="167" t="s">
        <v>10</v>
      </c>
      <c r="C76" s="83" t="s">
        <v>25</v>
      </c>
      <c r="D76" s="168">
        <v>0</v>
      </c>
      <c r="E76" s="83" t="s">
        <v>101</v>
      </c>
      <c r="F76" s="23" t="s">
        <v>250</v>
      </c>
      <c r="G76" s="75" t="s">
        <v>42</v>
      </c>
      <c r="H76" s="165" t="s">
        <v>940</v>
      </c>
      <c r="I76" s="167" t="s">
        <v>878</v>
      </c>
      <c r="J76" s="83" t="s">
        <v>75</v>
      </c>
      <c r="K76" s="168">
        <v>0</v>
      </c>
      <c r="L76" s="83" t="s">
        <v>893</v>
      </c>
      <c r="M76" s="23" t="s">
        <v>466</v>
      </c>
      <c r="N76" s="75" t="s">
        <v>25</v>
      </c>
      <c r="O76" s="165" t="s">
        <v>1001</v>
      </c>
      <c r="P76" s="167" t="s">
        <v>577</v>
      </c>
      <c r="Q76" s="83" t="s">
        <v>617</v>
      </c>
      <c r="R76" s="168">
        <v>0</v>
      </c>
      <c r="S76" s="83" t="s">
        <v>608</v>
      </c>
      <c r="T76" s="23" t="s">
        <v>702</v>
      </c>
      <c r="U76" s="75" t="s">
        <v>579</v>
      </c>
      <c r="V76" s="165" t="s">
        <v>682</v>
      </c>
      <c r="W76" s="167" t="s">
        <v>31</v>
      </c>
      <c r="X76" s="122"/>
      <c r="Y76" s="122"/>
      <c r="Z76" s="122"/>
      <c r="AB76" s="23"/>
      <c r="AE76" s="122"/>
      <c r="AF76" s="122"/>
      <c r="AG76" s="122"/>
      <c r="AI76" s="23"/>
    </row>
    <row r="77" spans="1:35" s="83" customFormat="1" ht="15">
      <c r="A77" s="163" t="s">
        <v>135</v>
      </c>
      <c r="B77" s="167" t="s">
        <v>882</v>
      </c>
      <c r="C77" s="83" t="s">
        <v>97</v>
      </c>
      <c r="D77" s="168">
        <v>0</v>
      </c>
      <c r="E77" s="83" t="s">
        <v>880</v>
      </c>
      <c r="F77" s="23" t="s">
        <v>467</v>
      </c>
      <c r="G77" s="126" t="s">
        <v>879</v>
      </c>
      <c r="H77" s="165" t="s">
        <v>642</v>
      </c>
      <c r="I77" s="167" t="s">
        <v>657</v>
      </c>
      <c r="J77" s="83" t="s">
        <v>94</v>
      </c>
      <c r="K77" s="168">
        <v>0</v>
      </c>
      <c r="L77" s="83" t="s">
        <v>587</v>
      </c>
      <c r="M77" s="23" t="s">
        <v>245</v>
      </c>
      <c r="N77" s="75" t="s">
        <v>709</v>
      </c>
      <c r="O77" s="165" t="s">
        <v>286</v>
      </c>
      <c r="P77" s="167" t="s">
        <v>880</v>
      </c>
      <c r="Q77" s="83" t="s">
        <v>883</v>
      </c>
      <c r="R77" s="168">
        <v>0</v>
      </c>
      <c r="S77" s="83" t="s">
        <v>814</v>
      </c>
      <c r="T77" s="21">
        <v>0</v>
      </c>
      <c r="U77" s="75" t="s">
        <v>1143</v>
      </c>
      <c r="V77" s="165" t="s">
        <v>244</v>
      </c>
      <c r="W77" s="167" t="s">
        <v>32</v>
      </c>
      <c r="AB77" s="23"/>
      <c r="AI77" s="23"/>
    </row>
    <row r="78" spans="1:35" s="83" customFormat="1" ht="15">
      <c r="A78" s="163" t="s">
        <v>136</v>
      </c>
      <c r="B78" s="164">
        <v>2651</v>
      </c>
      <c r="C78" s="122">
        <v>1533</v>
      </c>
      <c r="D78" s="168">
        <v>0</v>
      </c>
      <c r="E78" s="122">
        <v>1823</v>
      </c>
      <c r="F78" s="23" t="s">
        <v>285</v>
      </c>
      <c r="G78" s="126" t="s">
        <v>1144</v>
      </c>
      <c r="H78" s="165" t="s">
        <v>238</v>
      </c>
      <c r="I78" s="164">
        <v>2651</v>
      </c>
      <c r="J78" s="83" t="s">
        <v>886</v>
      </c>
      <c r="K78" s="144" t="s">
        <v>856</v>
      </c>
      <c r="L78" s="122">
        <v>1762</v>
      </c>
      <c r="M78" s="23" t="s">
        <v>258</v>
      </c>
      <c r="N78" s="126">
        <v>1707</v>
      </c>
      <c r="O78" s="165" t="s">
        <v>250</v>
      </c>
      <c r="P78" s="164">
        <v>2651</v>
      </c>
      <c r="Q78" s="122">
        <v>1908</v>
      </c>
      <c r="R78" s="168">
        <v>0</v>
      </c>
      <c r="S78" s="122">
        <v>1808</v>
      </c>
      <c r="T78" s="23" t="s">
        <v>474</v>
      </c>
      <c r="U78" s="126">
        <v>1838</v>
      </c>
      <c r="V78" s="165" t="s">
        <v>692</v>
      </c>
      <c r="W78" s="164">
        <v>1044</v>
      </c>
      <c r="AB78" s="23"/>
      <c r="AI78" s="23"/>
    </row>
    <row r="79" spans="1:35" s="83" customFormat="1" ht="15">
      <c r="A79" s="163" t="s">
        <v>498</v>
      </c>
      <c r="B79" s="164">
        <v>11164</v>
      </c>
      <c r="C79" s="122">
        <v>11612</v>
      </c>
      <c r="D79" s="144" t="s">
        <v>244</v>
      </c>
      <c r="E79" s="122">
        <v>11693</v>
      </c>
      <c r="F79" s="21">
        <v>0</v>
      </c>
      <c r="G79" s="126">
        <v>11526</v>
      </c>
      <c r="H79" s="165" t="s">
        <v>610</v>
      </c>
      <c r="I79" s="164">
        <v>10738</v>
      </c>
      <c r="J79" s="122">
        <v>11476</v>
      </c>
      <c r="K79" s="168">
        <v>0</v>
      </c>
      <c r="L79" s="122">
        <v>11315</v>
      </c>
      <c r="M79" s="23" t="s">
        <v>434</v>
      </c>
      <c r="N79" s="126">
        <v>11339</v>
      </c>
      <c r="O79" s="166">
        <v>0.02</v>
      </c>
      <c r="P79" s="164">
        <v>10771</v>
      </c>
      <c r="Q79" s="122">
        <v>12485</v>
      </c>
      <c r="R79" s="168">
        <v>0</v>
      </c>
      <c r="S79" s="122">
        <v>12759</v>
      </c>
      <c r="T79" s="21">
        <v>0</v>
      </c>
      <c r="U79" s="126">
        <v>12688</v>
      </c>
      <c r="V79" s="166">
        <v>0</v>
      </c>
      <c r="W79" s="164">
        <v>11827</v>
      </c>
      <c r="X79" s="122"/>
      <c r="Y79" s="122"/>
      <c r="Z79" s="122"/>
      <c r="AB79" s="23"/>
      <c r="AE79" s="122"/>
      <c r="AF79" s="122"/>
      <c r="AG79" s="122"/>
      <c r="AI79" s="23"/>
    </row>
    <row r="80" spans="1:35" s="83" customFormat="1" ht="15">
      <c r="A80" s="163" t="s">
        <v>137</v>
      </c>
      <c r="B80" s="167" t="s">
        <v>889</v>
      </c>
      <c r="C80" s="83" t="s">
        <v>890</v>
      </c>
      <c r="D80" s="168">
        <v>0</v>
      </c>
      <c r="E80" s="83" t="s">
        <v>887</v>
      </c>
      <c r="F80" s="23" t="s">
        <v>232</v>
      </c>
      <c r="G80" s="75" t="s">
        <v>1145</v>
      </c>
      <c r="H80" s="165" t="s">
        <v>1146</v>
      </c>
      <c r="I80" s="167" t="s">
        <v>564</v>
      </c>
      <c r="J80" s="83" t="s">
        <v>866</v>
      </c>
      <c r="K80" s="168">
        <v>0</v>
      </c>
      <c r="L80" s="83" t="s">
        <v>1147</v>
      </c>
      <c r="M80" s="23" t="s">
        <v>273</v>
      </c>
      <c r="N80" s="75" t="s">
        <v>1148</v>
      </c>
      <c r="O80" s="165" t="s">
        <v>268</v>
      </c>
      <c r="P80" s="167" t="s">
        <v>670</v>
      </c>
      <c r="Q80" s="83" t="s">
        <v>891</v>
      </c>
      <c r="R80" s="144" t="s">
        <v>236</v>
      </c>
      <c r="S80" s="83" t="s">
        <v>1149</v>
      </c>
      <c r="T80" s="21">
        <v>0</v>
      </c>
      <c r="U80" s="75" t="s">
        <v>1150</v>
      </c>
      <c r="V80" s="166">
        <v>0</v>
      </c>
      <c r="W80" s="167" t="s">
        <v>33</v>
      </c>
      <c r="AB80" s="23"/>
      <c r="AI80" s="23"/>
    </row>
    <row r="81" spans="1:35" s="83" customFormat="1" ht="15">
      <c r="A81" s="163" t="s">
        <v>138</v>
      </c>
      <c r="B81" s="167" t="s">
        <v>17</v>
      </c>
      <c r="C81" s="83" t="s">
        <v>684</v>
      </c>
      <c r="D81" s="144" t="s">
        <v>278</v>
      </c>
      <c r="E81" s="83" t="s">
        <v>745</v>
      </c>
      <c r="F81" s="23" t="s">
        <v>1123</v>
      </c>
      <c r="G81" s="126" t="s">
        <v>39</v>
      </c>
      <c r="H81" s="165" t="s">
        <v>246</v>
      </c>
      <c r="I81" s="167" t="s">
        <v>17</v>
      </c>
      <c r="J81" s="83" t="s">
        <v>893</v>
      </c>
      <c r="K81" s="144" t="s">
        <v>376</v>
      </c>
      <c r="L81" s="83" t="s">
        <v>100</v>
      </c>
      <c r="M81" s="23" t="s">
        <v>287</v>
      </c>
      <c r="N81" s="126" t="s">
        <v>21</v>
      </c>
      <c r="O81" s="165" t="s">
        <v>1123</v>
      </c>
      <c r="P81" s="167" t="s">
        <v>47</v>
      </c>
      <c r="Q81" s="83" t="s">
        <v>76</v>
      </c>
      <c r="R81" s="144" t="s">
        <v>545</v>
      </c>
      <c r="S81" s="83" t="s">
        <v>79</v>
      </c>
      <c r="T81" s="23" t="s">
        <v>402</v>
      </c>
      <c r="U81" s="126" t="s">
        <v>79</v>
      </c>
      <c r="V81" s="165" t="s">
        <v>403</v>
      </c>
      <c r="W81" s="167" t="s">
        <v>34</v>
      </c>
      <c r="AB81" s="23"/>
      <c r="AI81" s="23"/>
    </row>
    <row r="82" spans="1:35" s="83" customFormat="1" ht="15">
      <c r="A82" s="163" t="s">
        <v>139</v>
      </c>
      <c r="B82" s="164">
        <v>3647</v>
      </c>
      <c r="C82" s="122">
        <v>3649</v>
      </c>
      <c r="D82" s="144" t="s">
        <v>416</v>
      </c>
      <c r="E82" s="122">
        <v>3642</v>
      </c>
      <c r="F82" s="23" t="s">
        <v>461</v>
      </c>
      <c r="G82" s="126">
        <v>3603</v>
      </c>
      <c r="H82" s="165" t="s">
        <v>399</v>
      </c>
      <c r="I82" s="164">
        <v>3818</v>
      </c>
      <c r="J82" s="122">
        <v>3718</v>
      </c>
      <c r="K82" s="144" t="s">
        <v>761</v>
      </c>
      <c r="L82" s="122">
        <v>3686</v>
      </c>
      <c r="M82" s="23" t="s">
        <v>273</v>
      </c>
      <c r="N82" s="126">
        <v>3706</v>
      </c>
      <c r="O82" s="165" t="s">
        <v>678</v>
      </c>
      <c r="P82" s="164">
        <v>3781</v>
      </c>
      <c r="Q82" s="122">
        <v>3662</v>
      </c>
      <c r="R82" s="144" t="s">
        <v>244</v>
      </c>
      <c r="S82" s="122">
        <v>3696</v>
      </c>
      <c r="T82" s="23" t="s">
        <v>261</v>
      </c>
      <c r="U82" s="126">
        <v>3709</v>
      </c>
      <c r="V82" s="166">
        <v>0</v>
      </c>
      <c r="W82" s="164">
        <v>3568</v>
      </c>
    </row>
    <row r="83" spans="1:35" s="83" customFormat="1" ht="15">
      <c r="A83" s="163" t="s">
        <v>140</v>
      </c>
      <c r="B83" s="167" t="s">
        <v>102</v>
      </c>
      <c r="C83" s="83" t="s">
        <v>853</v>
      </c>
      <c r="D83" s="144" t="s">
        <v>658</v>
      </c>
      <c r="E83" s="83" t="s">
        <v>970</v>
      </c>
      <c r="F83" s="199" t="s">
        <v>970</v>
      </c>
      <c r="G83" s="75" t="s">
        <v>970</v>
      </c>
      <c r="H83" s="165" t="s">
        <v>970</v>
      </c>
      <c r="I83" s="167" t="s">
        <v>617</v>
      </c>
      <c r="J83" s="83" t="s">
        <v>42</v>
      </c>
      <c r="K83" s="144" t="s">
        <v>302</v>
      </c>
      <c r="L83" s="83" t="s">
        <v>970</v>
      </c>
      <c r="M83" s="199" t="s">
        <v>970</v>
      </c>
      <c r="N83" s="75" t="s">
        <v>970</v>
      </c>
      <c r="O83" s="165" t="s">
        <v>970</v>
      </c>
      <c r="P83" s="167" t="s">
        <v>733</v>
      </c>
      <c r="Q83" s="83" t="s">
        <v>809</v>
      </c>
      <c r="R83" s="144" t="s">
        <v>397</v>
      </c>
      <c r="S83" s="83" t="s">
        <v>970</v>
      </c>
      <c r="T83" s="23" t="s">
        <v>970</v>
      </c>
      <c r="U83" s="75" t="s">
        <v>970</v>
      </c>
      <c r="V83" s="165" t="s">
        <v>970</v>
      </c>
      <c r="W83" s="167" t="s">
        <v>35</v>
      </c>
    </row>
    <row r="84" spans="1:35" s="83" customFormat="1" ht="15">
      <c r="A84" s="163" t="s">
        <v>141</v>
      </c>
      <c r="B84" s="167" t="s">
        <v>679</v>
      </c>
      <c r="C84" s="83" t="s">
        <v>681</v>
      </c>
      <c r="D84" s="144" t="s">
        <v>297</v>
      </c>
      <c r="E84" s="83" t="s">
        <v>970</v>
      </c>
      <c r="F84" s="199" t="s">
        <v>970</v>
      </c>
      <c r="G84" s="75" t="s">
        <v>970</v>
      </c>
      <c r="H84" s="165" t="s">
        <v>970</v>
      </c>
      <c r="I84" s="167" t="s">
        <v>23</v>
      </c>
      <c r="J84" s="83" t="s">
        <v>679</v>
      </c>
      <c r="K84" s="168">
        <v>0.1</v>
      </c>
      <c r="L84" s="83" t="s">
        <v>970</v>
      </c>
      <c r="M84" s="199" t="s">
        <v>970</v>
      </c>
      <c r="N84" s="75" t="s">
        <v>970</v>
      </c>
      <c r="O84" s="165" t="s">
        <v>970</v>
      </c>
      <c r="P84" s="167" t="s">
        <v>897</v>
      </c>
      <c r="Q84" s="83" t="s">
        <v>897</v>
      </c>
      <c r="R84" s="144" t="s">
        <v>898</v>
      </c>
      <c r="S84" s="83" t="s">
        <v>970</v>
      </c>
      <c r="T84" s="23" t="s">
        <v>970</v>
      </c>
      <c r="U84" s="75" t="s">
        <v>970</v>
      </c>
      <c r="V84" s="165" t="s">
        <v>970</v>
      </c>
      <c r="W84" s="167" t="s">
        <v>36</v>
      </c>
    </row>
    <row r="85" spans="1:35" s="83" customFormat="1" ht="15">
      <c r="A85" s="163" t="s">
        <v>1085</v>
      </c>
      <c r="B85" s="167" t="s">
        <v>854</v>
      </c>
      <c r="C85" s="83" t="s">
        <v>970</v>
      </c>
      <c r="D85" s="144" t="s">
        <v>970</v>
      </c>
      <c r="E85" s="83" t="s">
        <v>87</v>
      </c>
      <c r="F85" s="23" t="s">
        <v>287</v>
      </c>
      <c r="G85" s="75" t="s">
        <v>970</v>
      </c>
      <c r="H85" s="135" t="s">
        <v>970</v>
      </c>
      <c r="I85" s="167" t="s">
        <v>92</v>
      </c>
      <c r="J85" s="75" t="s">
        <v>970</v>
      </c>
      <c r="K85" s="144" t="s">
        <v>970</v>
      </c>
      <c r="L85" s="83" t="s">
        <v>681</v>
      </c>
      <c r="M85" s="23" t="s">
        <v>270</v>
      </c>
      <c r="N85" s="75" t="s">
        <v>970</v>
      </c>
      <c r="O85" s="135" t="s">
        <v>970</v>
      </c>
      <c r="P85" s="167" t="s">
        <v>93</v>
      </c>
      <c r="Q85" s="75" t="s">
        <v>970</v>
      </c>
      <c r="R85" s="144" t="s">
        <v>970</v>
      </c>
      <c r="S85" s="83" t="s">
        <v>970</v>
      </c>
      <c r="T85" s="23" t="s">
        <v>970</v>
      </c>
      <c r="U85" s="75" t="s">
        <v>970</v>
      </c>
      <c r="V85" s="135" t="s">
        <v>970</v>
      </c>
      <c r="W85" s="167" t="s">
        <v>18</v>
      </c>
    </row>
    <row r="86" spans="1:35" s="83" customFormat="1" thickBot="1">
      <c r="A86" s="206" t="s">
        <v>142</v>
      </c>
      <c r="B86" s="202" t="s">
        <v>897</v>
      </c>
      <c r="C86" s="81" t="s">
        <v>897</v>
      </c>
      <c r="D86" s="175" t="s">
        <v>420</v>
      </c>
      <c r="E86" s="81" t="s">
        <v>710</v>
      </c>
      <c r="F86" s="176" t="s">
        <v>692</v>
      </c>
      <c r="G86" s="80" t="s">
        <v>970</v>
      </c>
      <c r="H86" s="177" t="s">
        <v>970</v>
      </c>
      <c r="I86" s="202" t="s">
        <v>809</v>
      </c>
      <c r="J86" s="81" t="s">
        <v>582</v>
      </c>
      <c r="K86" s="175" t="s">
        <v>424</v>
      </c>
      <c r="L86" s="81" t="s">
        <v>2</v>
      </c>
      <c r="M86" s="176" t="s">
        <v>422</v>
      </c>
      <c r="N86" s="80" t="s">
        <v>970</v>
      </c>
      <c r="O86" s="177" t="s">
        <v>970</v>
      </c>
      <c r="P86" s="202" t="s">
        <v>36</v>
      </c>
      <c r="Q86" s="81" t="s">
        <v>42</v>
      </c>
      <c r="R86" s="175" t="s">
        <v>545</v>
      </c>
      <c r="S86" s="81" t="s">
        <v>42</v>
      </c>
      <c r="T86" s="176" t="s">
        <v>1118</v>
      </c>
      <c r="U86" s="80" t="s">
        <v>970</v>
      </c>
      <c r="V86" s="177" t="s">
        <v>970</v>
      </c>
      <c r="W86" s="167" t="s">
        <v>38</v>
      </c>
    </row>
    <row r="87" spans="1:35" s="83" customFormat="1" ht="18" thickTop="1" thickBot="1">
      <c r="A87" s="206" t="s">
        <v>973</v>
      </c>
      <c r="B87" s="225"/>
      <c r="C87" s="181" t="s">
        <v>1151</v>
      </c>
      <c r="D87" s="182"/>
      <c r="E87" s="181" t="s">
        <v>1152</v>
      </c>
      <c r="F87" s="182"/>
      <c r="G87" s="181" t="s">
        <v>1153</v>
      </c>
      <c r="H87" s="183"/>
      <c r="I87" s="225"/>
      <c r="J87" s="226" t="s">
        <v>1154</v>
      </c>
      <c r="K87" s="227"/>
      <c r="L87" s="181" t="s">
        <v>1155</v>
      </c>
      <c r="M87" s="182"/>
      <c r="N87" s="181" t="s">
        <v>1156</v>
      </c>
      <c r="O87" s="183"/>
      <c r="P87" s="225"/>
      <c r="Q87" s="226" t="s">
        <v>1157</v>
      </c>
      <c r="R87" s="227"/>
      <c r="S87" s="181" t="s">
        <v>1158</v>
      </c>
      <c r="T87" s="182"/>
      <c r="U87" s="181" t="s">
        <v>1159</v>
      </c>
      <c r="V87" s="183"/>
      <c r="W87" s="215"/>
    </row>
    <row r="88" spans="1:35" s="83" customFormat="1" ht="15">
      <c r="G88" s="23"/>
      <c r="N88" s="23"/>
    </row>
    <row r="89" spans="1:35" s="83" customFormat="1" ht="15">
      <c r="G89" s="23"/>
      <c r="N89" s="23"/>
    </row>
    <row r="90" spans="1:35" s="83" customFormat="1" ht="15">
      <c r="G90" s="23"/>
      <c r="N90" s="23"/>
    </row>
    <row r="91" spans="1:35" s="83" customFormat="1" ht="15">
      <c r="G91" s="23"/>
      <c r="N91" s="23"/>
    </row>
    <row r="92" spans="1:35" s="83" customFormat="1" ht="15">
      <c r="C92" s="122"/>
      <c r="D92" s="122"/>
      <c r="E92" s="122"/>
      <c r="G92" s="23"/>
      <c r="J92" s="122"/>
      <c r="K92" s="122"/>
      <c r="L92" s="122"/>
      <c r="N92" s="23"/>
    </row>
    <row r="93" spans="1:35" s="83" customFormat="1" ht="15">
      <c r="C93" s="122"/>
      <c r="D93" s="122"/>
      <c r="E93" s="122"/>
      <c r="G93" s="23"/>
      <c r="J93" s="122"/>
      <c r="K93" s="122"/>
      <c r="L93" s="122"/>
      <c r="N93" s="23"/>
    </row>
    <row r="94" spans="1:35" s="83" customFormat="1" ht="15">
      <c r="G94" s="23"/>
      <c r="N94" s="23"/>
    </row>
    <row r="95" spans="1:35" s="83" customFormat="1" ht="15">
      <c r="G95" s="23"/>
      <c r="N95" s="23"/>
    </row>
    <row r="96" spans="1:35" s="83" customFormat="1" ht="15">
      <c r="C96" s="122"/>
      <c r="D96" s="122"/>
      <c r="E96" s="122"/>
      <c r="G96" s="23"/>
      <c r="J96" s="122"/>
      <c r="K96" s="122"/>
      <c r="L96" s="122"/>
      <c r="N96" s="23"/>
    </row>
    <row r="97" spans="7:14" s="83" customFormat="1" ht="15">
      <c r="G97" s="23"/>
      <c r="N97" s="23"/>
    </row>
    <row r="98" spans="7:14" s="83" customFormat="1" ht="15">
      <c r="G98" s="23"/>
      <c r="N98" s="23"/>
    </row>
    <row r="99" spans="7:14" s="83" customFormat="1" ht="15"/>
    <row r="100" spans="7:14" s="83" customFormat="1" ht="15"/>
    <row r="101" spans="7:14" s="83" customFormat="1" ht="15"/>
    <row r="102" spans="7:14" s="83" customFormat="1" ht="15"/>
    <row r="103" spans="7:14" s="83" customFormat="1" ht="15"/>
    <row r="104" spans="7:14" s="83" customFormat="1" ht="15"/>
    <row r="105" spans="7:14" s="83" customFormat="1" ht="15"/>
    <row r="106" spans="7:14" s="83" customFormat="1" ht="15"/>
    <row r="107" spans="7:14" s="83" customFormat="1" ht="15"/>
    <row r="108" spans="7:14" s="83" customFormat="1" ht="15"/>
    <row r="109" spans="7:14" s="83" customFormat="1" ht="15"/>
    <row r="110" spans="7:14" s="83" customFormat="1" ht="15"/>
    <row r="111" spans="7:14" s="83" customFormat="1" ht="15"/>
    <row r="112" spans="7:14" s="83" customFormat="1" ht="15"/>
    <row r="113" s="83" customFormat="1" ht="15"/>
    <row r="114" s="83" customFormat="1" ht="15"/>
    <row r="115" s="83" customFormat="1" ht="15"/>
    <row r="116" s="83" customFormat="1" ht="15"/>
    <row r="117" s="83" customFormat="1" ht="15"/>
    <row r="118" s="83" customFormat="1" ht="15"/>
    <row r="119" s="83" customFormat="1" ht="15"/>
    <row r="120" s="83" customFormat="1" ht="15"/>
    <row r="121" s="83" customFormat="1" ht="15"/>
    <row r="122" s="83" customFormat="1" ht="15"/>
    <row r="123" s="83" customFormat="1" ht="15"/>
    <row r="124" s="83" customFormat="1" ht="15"/>
    <row r="125" s="83" customFormat="1" ht="15"/>
    <row r="126" s="83" customFormat="1" ht="15"/>
    <row r="127" s="83" customFormat="1" ht="15"/>
    <row r="128" s="83" customFormat="1" ht="15"/>
    <row r="129" s="83" customFormat="1" ht="15"/>
    <row r="130" s="83" customFormat="1" ht="15"/>
    <row r="131" s="83" customFormat="1" ht="15"/>
    <row r="132" s="83" customFormat="1" ht="15"/>
    <row r="133" s="83" customFormat="1" ht="15"/>
    <row r="134" s="83" customFormat="1" ht="15"/>
    <row r="135" s="83" customFormat="1" ht="15"/>
    <row r="136" s="83" customFormat="1" ht="15"/>
    <row r="137" s="83" customFormat="1" ht="15"/>
    <row r="138" s="83" customFormat="1" ht="15"/>
    <row r="139" s="83" customFormat="1" ht="15"/>
    <row r="140" s="83" customFormat="1" ht="15"/>
    <row r="141" s="83" customFormat="1" ht="15"/>
    <row r="142" s="83" customFormat="1" ht="15"/>
    <row r="143" s="83" customFormat="1" ht="15"/>
    <row r="144" s="83" customFormat="1" ht="15"/>
    <row r="145" s="83" customFormat="1" ht="15"/>
    <row r="146" s="83" customFormat="1" ht="15"/>
    <row r="147" s="83" customFormat="1" ht="15"/>
    <row r="148" s="83" customFormat="1" ht="15"/>
    <row r="149" s="83" customFormat="1" ht="15"/>
    <row r="150" s="83" customFormat="1" ht="15"/>
    <row r="151" s="83" customFormat="1" ht="15"/>
    <row r="152" s="83" customFormat="1" ht="15"/>
    <row r="153" s="83" customFormat="1" ht="15"/>
    <row r="154" s="83" customFormat="1" ht="15"/>
    <row r="155" s="83" customFormat="1" ht="15"/>
    <row r="156" s="83" customFormat="1" ht="15"/>
    <row r="157" s="83" customFormat="1" ht="15"/>
    <row r="158" s="83" customFormat="1" ht="15"/>
    <row r="159" s="83" customFormat="1" ht="15"/>
    <row r="160" s="83" customFormat="1" ht="15"/>
    <row r="161" s="83" customFormat="1" ht="15"/>
    <row r="162" s="83" customFormat="1" ht="15"/>
    <row r="163" s="83" customFormat="1" ht="15"/>
    <row r="164" s="83" customFormat="1" ht="15"/>
    <row r="165" s="83" customFormat="1" ht="15"/>
    <row r="166" s="83" customFormat="1" ht="15"/>
    <row r="167" s="83" customFormat="1" ht="15"/>
    <row r="168" s="83" customFormat="1" ht="15"/>
    <row r="169" s="83" customFormat="1" ht="15"/>
    <row r="170" s="83" customFormat="1" ht="15"/>
    <row r="171" s="83" customFormat="1" ht="15"/>
    <row r="172" s="83" customFormat="1" ht="15"/>
    <row r="173" s="83" customFormat="1" ht="15"/>
    <row r="174" s="83" customFormat="1" ht="15"/>
    <row r="175" s="83" customFormat="1" ht="15"/>
    <row r="176" s="83" customFormat="1" ht="15"/>
    <row r="177" s="83" customFormat="1" ht="15"/>
    <row r="178" s="83" customFormat="1" ht="15"/>
    <row r="179" s="83" customFormat="1" ht="15"/>
    <row r="180" s="83" customFormat="1" ht="15"/>
    <row r="181" s="83" customFormat="1" ht="15"/>
    <row r="182" s="83" customFormat="1" ht="15"/>
    <row r="183" s="83" customFormat="1" ht="15"/>
    <row r="184" s="83" customFormat="1" ht="15"/>
    <row r="185" s="83" customFormat="1" ht="15"/>
    <row r="186" s="83" customFormat="1" ht="15"/>
    <row r="187" s="83" customFormat="1" ht="15"/>
    <row r="188" s="83" customFormat="1" ht="15"/>
    <row r="189" s="83" customFormat="1" ht="15"/>
    <row r="190" s="83" customFormat="1" ht="15"/>
    <row r="191" s="83" customFormat="1" ht="15"/>
    <row r="192" s="83" customFormat="1" ht="15"/>
    <row r="193" s="83" customFormat="1" ht="15"/>
    <row r="194" s="83" customFormat="1" ht="15"/>
    <row r="195" s="83" customFormat="1" ht="15"/>
    <row r="196" s="83" customFormat="1" ht="15"/>
    <row r="197" s="83" customFormat="1" ht="15"/>
    <row r="198" s="83" customFormat="1" ht="15"/>
    <row r="199" s="83" customFormat="1" ht="15"/>
    <row r="200" s="83" customFormat="1" ht="15"/>
    <row r="201" s="83" customFormat="1" ht="15"/>
    <row r="202" s="83" customFormat="1" ht="15"/>
    <row r="203" s="83" customFormat="1" ht="15"/>
    <row r="204" s="83" customFormat="1" ht="15"/>
    <row r="205" s="83" customFormat="1" ht="15"/>
    <row r="206" s="83" customFormat="1" ht="15"/>
    <row r="207" s="83" customFormat="1" ht="15"/>
    <row r="208" s="83" customFormat="1" ht="15"/>
    <row r="209" s="83" customFormat="1" ht="15"/>
    <row r="210" s="83" customFormat="1" ht="15"/>
    <row r="211" s="83" customFormat="1" ht="15"/>
    <row r="212" s="83" customFormat="1" ht="15"/>
    <row r="213" s="83" customFormat="1" ht="15"/>
    <row r="214" s="83" customFormat="1" ht="15"/>
    <row r="215" s="83" customFormat="1" ht="15"/>
    <row r="216" s="83" customFormat="1" ht="15"/>
    <row r="217" s="83" customFormat="1" ht="15"/>
    <row r="218" s="83" customFormat="1" ht="15"/>
    <row r="219" s="83" customFormat="1" ht="15"/>
    <row r="220" s="83" customFormat="1" ht="15"/>
    <row r="221" s="83" customFormat="1" ht="15"/>
    <row r="222" s="83" customFormat="1" ht="15"/>
    <row r="223" s="83" customFormat="1" ht="15"/>
    <row r="224" s="83" customFormat="1" ht="15"/>
    <row r="225" s="83" customFormat="1" ht="15"/>
    <row r="226" s="83" customFormat="1" ht="15"/>
    <row r="227" s="83" customFormat="1" ht="15"/>
  </sheetData>
  <mergeCells count="68">
    <mergeCell ref="Q87:R87"/>
    <mergeCell ref="S87:T87"/>
    <mergeCell ref="U87:V87"/>
    <mergeCell ref="W67:W70"/>
    <mergeCell ref="B69:H69"/>
    <mergeCell ref="I69:O69"/>
    <mergeCell ref="P69:V69"/>
    <mergeCell ref="C87:D87"/>
    <mergeCell ref="E87:F87"/>
    <mergeCell ref="G87:H87"/>
    <mergeCell ref="J87:K87"/>
    <mergeCell ref="L87:M87"/>
    <mergeCell ref="N87:O87"/>
    <mergeCell ref="Q65:R65"/>
    <mergeCell ref="S65:T65"/>
    <mergeCell ref="U65:V65"/>
    <mergeCell ref="A67:A69"/>
    <mergeCell ref="B67:H68"/>
    <mergeCell ref="I67:O68"/>
    <mergeCell ref="P67:V68"/>
    <mergeCell ref="W45:W48"/>
    <mergeCell ref="B47:H47"/>
    <mergeCell ref="I47:O47"/>
    <mergeCell ref="P47:V47"/>
    <mergeCell ref="C65:D65"/>
    <mergeCell ref="E65:F65"/>
    <mergeCell ref="G65:H65"/>
    <mergeCell ref="J65:K65"/>
    <mergeCell ref="L65:M65"/>
    <mergeCell ref="N65:O65"/>
    <mergeCell ref="Q43:R43"/>
    <mergeCell ref="S43:T43"/>
    <mergeCell ref="U43:V43"/>
    <mergeCell ref="A45:A47"/>
    <mergeCell ref="B45:H46"/>
    <mergeCell ref="I45:O46"/>
    <mergeCell ref="P45:V46"/>
    <mergeCell ref="W23:W26"/>
    <mergeCell ref="B25:H25"/>
    <mergeCell ref="I25:O25"/>
    <mergeCell ref="P25:V25"/>
    <mergeCell ref="C43:D43"/>
    <mergeCell ref="E43:F43"/>
    <mergeCell ref="G43:H43"/>
    <mergeCell ref="J43:K43"/>
    <mergeCell ref="L43:M43"/>
    <mergeCell ref="N43:O43"/>
    <mergeCell ref="Q21:R21"/>
    <mergeCell ref="S21:T21"/>
    <mergeCell ref="U21:V21"/>
    <mergeCell ref="A23:A25"/>
    <mergeCell ref="B23:H24"/>
    <mergeCell ref="I23:O24"/>
    <mergeCell ref="P23:V24"/>
    <mergeCell ref="C21:D21"/>
    <mergeCell ref="E21:F21"/>
    <mergeCell ref="G21:H21"/>
    <mergeCell ref="J21:K21"/>
    <mergeCell ref="L21:M21"/>
    <mergeCell ref="N21:O21"/>
    <mergeCell ref="A1:A3"/>
    <mergeCell ref="B1:H2"/>
    <mergeCell ref="I1:O2"/>
    <mergeCell ref="P1:V2"/>
    <mergeCell ref="W1:W4"/>
    <mergeCell ref="B3:H3"/>
    <mergeCell ref="I3:O3"/>
    <mergeCell ref="P3:V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33BAA-96B6-1044-90ED-7230FB300D86}">
  <dimension ref="A1:L204"/>
  <sheetViews>
    <sheetView workbookViewId="0">
      <selection sqref="A1:XFD1048576"/>
    </sheetView>
  </sheetViews>
  <sheetFormatPr baseColWidth="10" defaultRowHeight="16"/>
  <cols>
    <col min="1" max="1" width="58.33203125" bestFit="1" customWidth="1"/>
    <col min="2" max="3" width="8.1640625" bestFit="1" customWidth="1"/>
    <col min="4" max="4" width="9.1640625" bestFit="1" customWidth="1"/>
    <col min="5" max="5" width="8.1640625" bestFit="1" customWidth="1"/>
    <col min="6" max="6" width="9.1640625" bestFit="1" customWidth="1"/>
    <col min="7" max="7" width="8.1640625" bestFit="1" customWidth="1"/>
    <col min="8" max="8" width="9.1640625" bestFit="1" customWidth="1"/>
    <col min="9" max="9" width="11" customWidth="1"/>
  </cols>
  <sheetData>
    <row r="1" spans="1:9">
      <c r="A1" s="90" t="s">
        <v>799</v>
      </c>
      <c r="B1" s="100" t="s">
        <v>180</v>
      </c>
      <c r="C1" s="147"/>
      <c r="D1" s="147"/>
      <c r="E1" s="147"/>
      <c r="F1" s="147"/>
      <c r="G1" s="147"/>
      <c r="H1" s="148"/>
      <c r="I1" s="194" t="s">
        <v>143</v>
      </c>
    </row>
    <row r="2" spans="1:9">
      <c r="A2" s="93"/>
      <c r="B2" s="104"/>
      <c r="C2" s="96"/>
      <c r="D2" s="96"/>
      <c r="E2" s="96"/>
      <c r="F2" s="96"/>
      <c r="G2" s="96"/>
      <c r="H2" s="151"/>
      <c r="I2" s="195"/>
    </row>
    <row r="3" spans="1:9" ht="17" thickBot="1">
      <c r="A3" s="77"/>
      <c r="B3" s="235" t="s">
        <v>181</v>
      </c>
      <c r="C3" s="236"/>
      <c r="D3" s="236"/>
      <c r="E3" s="236"/>
      <c r="F3" s="236"/>
      <c r="G3" s="236"/>
      <c r="H3" s="237"/>
      <c r="I3" s="195"/>
    </row>
    <row r="4" spans="1:9" ht="17" thickTop="1">
      <c r="A4" s="160" t="s">
        <v>128</v>
      </c>
      <c r="B4" s="238" t="s">
        <v>0</v>
      </c>
      <c r="C4" s="78" t="s">
        <v>506</v>
      </c>
      <c r="D4" s="79" t="s">
        <v>949</v>
      </c>
      <c r="E4" s="77" t="s">
        <v>508</v>
      </c>
      <c r="F4" s="79" t="s">
        <v>950</v>
      </c>
      <c r="G4" s="77" t="s">
        <v>509</v>
      </c>
      <c r="H4" s="239" t="s">
        <v>951</v>
      </c>
      <c r="I4" s="196"/>
    </row>
    <row r="5" spans="1:9">
      <c r="A5" s="240" t="s">
        <v>130</v>
      </c>
      <c r="B5" s="228">
        <v>10239</v>
      </c>
      <c r="C5" s="120">
        <v>8926</v>
      </c>
      <c r="D5" s="241" t="s">
        <v>470</v>
      </c>
      <c r="E5" s="242">
        <v>9228</v>
      </c>
      <c r="F5" s="243" t="s">
        <v>705</v>
      </c>
      <c r="G5" s="244">
        <v>9228</v>
      </c>
      <c r="H5" s="123">
        <v>0.1</v>
      </c>
      <c r="I5" s="145">
        <v>8209</v>
      </c>
    </row>
    <row r="6" spans="1:9">
      <c r="A6" s="197" t="s">
        <v>497</v>
      </c>
      <c r="B6" s="167" t="s">
        <v>800</v>
      </c>
      <c r="C6" s="122">
        <v>-4423</v>
      </c>
      <c r="D6" s="144" t="s">
        <v>399</v>
      </c>
      <c r="E6" s="245" t="s">
        <v>1160</v>
      </c>
      <c r="F6" s="25">
        <v>0.05</v>
      </c>
      <c r="G6" s="75" t="s">
        <v>1160</v>
      </c>
      <c r="H6" s="128" t="s">
        <v>369</v>
      </c>
      <c r="I6" s="76" t="s">
        <v>550</v>
      </c>
    </row>
    <row r="7" spans="1:9">
      <c r="A7" s="197" t="s">
        <v>551</v>
      </c>
      <c r="B7" s="167" t="s">
        <v>784</v>
      </c>
      <c r="C7" s="83" t="s">
        <v>733</v>
      </c>
      <c r="D7" s="168">
        <v>7.0000000000000007E-2</v>
      </c>
      <c r="E7" s="245" t="s">
        <v>557</v>
      </c>
      <c r="F7" s="127" t="s">
        <v>272</v>
      </c>
      <c r="G7" s="75" t="s">
        <v>557</v>
      </c>
      <c r="H7" s="128" t="s">
        <v>305</v>
      </c>
      <c r="I7" s="76" t="s">
        <v>11</v>
      </c>
    </row>
    <row r="8" spans="1:9">
      <c r="A8" s="197" t="s">
        <v>132</v>
      </c>
      <c r="B8" s="167" t="s">
        <v>714</v>
      </c>
      <c r="C8" s="83" t="s">
        <v>748</v>
      </c>
      <c r="D8" s="144" t="s">
        <v>429</v>
      </c>
      <c r="E8" s="245" t="s">
        <v>114</v>
      </c>
      <c r="F8" s="127" t="s">
        <v>296</v>
      </c>
      <c r="G8" s="75" t="s">
        <v>114</v>
      </c>
      <c r="H8" s="128" t="s">
        <v>413</v>
      </c>
      <c r="I8" s="76" t="s">
        <v>29</v>
      </c>
    </row>
    <row r="9" spans="1:9">
      <c r="A9" s="197" t="s">
        <v>133</v>
      </c>
      <c r="B9" s="167" t="s">
        <v>801</v>
      </c>
      <c r="C9" s="83" t="s">
        <v>693</v>
      </c>
      <c r="D9" s="144" t="s">
        <v>655</v>
      </c>
      <c r="E9" s="245" t="s">
        <v>819</v>
      </c>
      <c r="F9" s="127" t="s">
        <v>401</v>
      </c>
      <c r="G9" s="75" t="s">
        <v>819</v>
      </c>
      <c r="H9" s="128" t="s">
        <v>434</v>
      </c>
      <c r="I9" s="76" t="s">
        <v>30</v>
      </c>
    </row>
    <row r="10" spans="1:9">
      <c r="A10" s="197" t="s">
        <v>134</v>
      </c>
      <c r="B10" s="167" t="s">
        <v>39</v>
      </c>
      <c r="C10" s="83" t="s">
        <v>25</v>
      </c>
      <c r="D10" s="144" t="s">
        <v>802</v>
      </c>
      <c r="E10" s="245" t="s">
        <v>22</v>
      </c>
      <c r="F10" s="127" t="s">
        <v>856</v>
      </c>
      <c r="G10" s="75" t="s">
        <v>22</v>
      </c>
      <c r="H10" s="135">
        <v>0.14000000000000001</v>
      </c>
      <c r="I10" s="76" t="s">
        <v>31</v>
      </c>
    </row>
    <row r="11" spans="1:9">
      <c r="A11" s="197" t="s">
        <v>135</v>
      </c>
      <c r="B11" s="167" t="s">
        <v>116</v>
      </c>
      <c r="C11" s="83" t="s">
        <v>803</v>
      </c>
      <c r="D11" s="144" t="s">
        <v>261</v>
      </c>
      <c r="E11" s="245" t="s">
        <v>962</v>
      </c>
      <c r="F11" s="127" t="s">
        <v>575</v>
      </c>
      <c r="G11" s="75" t="s">
        <v>962</v>
      </c>
      <c r="H11" s="128" t="s">
        <v>301</v>
      </c>
      <c r="I11" s="76" t="s">
        <v>32</v>
      </c>
    </row>
    <row r="12" spans="1:9">
      <c r="A12" s="197" t="s">
        <v>136</v>
      </c>
      <c r="B12" s="167" t="s">
        <v>804</v>
      </c>
      <c r="C12" s="122">
        <v>1702</v>
      </c>
      <c r="D12" s="144" t="s">
        <v>407</v>
      </c>
      <c r="E12" s="246">
        <v>1729</v>
      </c>
      <c r="F12" s="127" t="s">
        <v>416</v>
      </c>
      <c r="G12" s="126">
        <v>1729</v>
      </c>
      <c r="H12" s="128" t="s">
        <v>467</v>
      </c>
      <c r="I12" s="145">
        <v>1044</v>
      </c>
    </row>
    <row r="13" spans="1:9">
      <c r="A13" s="197" t="s">
        <v>498</v>
      </c>
      <c r="B13" s="164">
        <v>12424</v>
      </c>
      <c r="C13" s="122">
        <v>12271</v>
      </c>
      <c r="D13" s="144" t="s">
        <v>294</v>
      </c>
      <c r="E13" s="246">
        <v>12301</v>
      </c>
      <c r="F13" s="127" t="s">
        <v>405</v>
      </c>
      <c r="G13" s="126">
        <v>12301</v>
      </c>
      <c r="H13" s="135" t="s">
        <v>594</v>
      </c>
      <c r="I13" s="145">
        <v>11827</v>
      </c>
    </row>
    <row r="14" spans="1:9">
      <c r="A14" s="197" t="s">
        <v>137</v>
      </c>
      <c r="B14" s="167" t="s">
        <v>805</v>
      </c>
      <c r="C14" s="83" t="s">
        <v>806</v>
      </c>
      <c r="D14" s="144" t="s">
        <v>303</v>
      </c>
      <c r="E14" s="245" t="s">
        <v>959</v>
      </c>
      <c r="F14" s="127" t="s">
        <v>802</v>
      </c>
      <c r="G14" s="75" t="s">
        <v>959</v>
      </c>
      <c r="H14" s="135">
        <v>0.14000000000000001</v>
      </c>
      <c r="I14" s="76" t="s">
        <v>33</v>
      </c>
    </row>
    <row r="15" spans="1:9">
      <c r="A15" s="197" t="s">
        <v>138</v>
      </c>
      <c r="B15" s="167" t="s">
        <v>807</v>
      </c>
      <c r="C15" s="83" t="s">
        <v>803</v>
      </c>
      <c r="D15" s="144" t="s">
        <v>366</v>
      </c>
      <c r="E15" s="245" t="s">
        <v>879</v>
      </c>
      <c r="F15" s="127" t="s">
        <v>230</v>
      </c>
      <c r="G15" s="75" t="s">
        <v>879</v>
      </c>
      <c r="H15" s="128" t="s">
        <v>655</v>
      </c>
      <c r="I15" s="76" t="s">
        <v>34</v>
      </c>
    </row>
    <row r="16" spans="1:9">
      <c r="A16" s="197" t="s">
        <v>139</v>
      </c>
      <c r="B16" s="164">
        <v>3088</v>
      </c>
      <c r="C16" s="122">
        <v>3368</v>
      </c>
      <c r="D16" s="144" t="s">
        <v>808</v>
      </c>
      <c r="E16" s="246">
        <v>3406</v>
      </c>
      <c r="F16" s="127" t="s">
        <v>856</v>
      </c>
      <c r="G16" s="126">
        <v>3406</v>
      </c>
      <c r="H16" s="128" t="s">
        <v>470</v>
      </c>
      <c r="I16" s="145">
        <v>3568</v>
      </c>
    </row>
    <row r="17" spans="1:12">
      <c r="A17" s="197" t="s">
        <v>140</v>
      </c>
      <c r="B17" s="167" t="s">
        <v>2</v>
      </c>
      <c r="C17" s="83" t="s">
        <v>84</v>
      </c>
      <c r="D17" s="144" t="s">
        <v>702</v>
      </c>
      <c r="E17" s="247" t="s">
        <v>970</v>
      </c>
      <c r="F17" s="127" t="s">
        <v>970</v>
      </c>
      <c r="G17" s="245" t="s">
        <v>970</v>
      </c>
      <c r="H17" s="248" t="s">
        <v>970</v>
      </c>
      <c r="I17" s="76" t="s">
        <v>35</v>
      </c>
    </row>
    <row r="18" spans="1:12">
      <c r="A18" s="197" t="s">
        <v>141</v>
      </c>
      <c r="B18" s="167" t="s">
        <v>86</v>
      </c>
      <c r="C18" s="83" t="s">
        <v>809</v>
      </c>
      <c r="D18" s="144" t="s">
        <v>268</v>
      </c>
      <c r="E18" s="247" t="s">
        <v>970</v>
      </c>
      <c r="F18" s="127" t="s">
        <v>970</v>
      </c>
      <c r="G18" s="245" t="s">
        <v>970</v>
      </c>
      <c r="H18" s="248" t="s">
        <v>970</v>
      </c>
      <c r="I18" s="76" t="s">
        <v>36</v>
      </c>
    </row>
    <row r="19" spans="1:12">
      <c r="A19" s="197" t="s">
        <v>142</v>
      </c>
      <c r="B19" s="167" t="s">
        <v>37</v>
      </c>
      <c r="C19" s="83" t="s">
        <v>41</v>
      </c>
      <c r="D19" s="168">
        <v>0.1</v>
      </c>
      <c r="E19" s="245" t="s">
        <v>27</v>
      </c>
      <c r="F19" s="127" t="s">
        <v>287</v>
      </c>
      <c r="G19" s="75" t="s">
        <v>970</v>
      </c>
      <c r="H19" s="249" t="s">
        <v>970</v>
      </c>
      <c r="I19" s="76" t="s">
        <v>38</v>
      </c>
    </row>
    <row r="20" spans="1:12" ht="17" thickBot="1">
      <c r="A20" s="200" t="s">
        <v>971</v>
      </c>
      <c r="B20" s="202" t="s">
        <v>104</v>
      </c>
      <c r="C20" s="80" t="s">
        <v>970</v>
      </c>
      <c r="D20" s="201" t="s">
        <v>970</v>
      </c>
      <c r="E20" s="250" t="s">
        <v>744</v>
      </c>
      <c r="F20" s="251" t="s">
        <v>360</v>
      </c>
      <c r="G20" s="80" t="s">
        <v>970</v>
      </c>
      <c r="H20" s="252" t="s">
        <v>970</v>
      </c>
      <c r="I20" s="76" t="s">
        <v>577</v>
      </c>
    </row>
    <row r="21" spans="1:12" ht="18" thickTop="1" thickBot="1">
      <c r="A21" s="253" t="s">
        <v>973</v>
      </c>
      <c r="B21" s="225"/>
      <c r="C21" s="254" t="s">
        <v>1161</v>
      </c>
      <c r="D21" s="254"/>
      <c r="E21" s="254" t="s">
        <v>1162</v>
      </c>
      <c r="F21" s="254"/>
      <c r="G21" s="254" t="s">
        <v>1162</v>
      </c>
      <c r="H21" s="255"/>
      <c r="I21" s="256"/>
      <c r="J21" s="257"/>
      <c r="K21" s="169"/>
      <c r="L21" s="169"/>
    </row>
    <row r="22" spans="1:12">
      <c r="I22" s="169"/>
      <c r="J22" s="257"/>
      <c r="K22" s="169"/>
      <c r="L22" s="169"/>
    </row>
    <row r="23" spans="1:12" s="83" customFormat="1" ht="15"/>
    <row r="24" spans="1:12" s="83" customFormat="1" ht="15"/>
    <row r="25" spans="1:12" s="83" customFormat="1" ht="15"/>
    <row r="26" spans="1:12" s="83" customFormat="1" ht="15">
      <c r="A26" s="258"/>
      <c r="C26" s="258"/>
    </row>
    <row r="27" spans="1:12" s="83" customFormat="1" ht="15"/>
    <row r="28" spans="1:12" s="83" customFormat="1" ht="15"/>
    <row r="29" spans="1:12" s="83" customFormat="1" ht="15">
      <c r="E29" s="122"/>
      <c r="F29" s="122"/>
      <c r="G29" s="122"/>
    </row>
    <row r="30" spans="1:12" s="83" customFormat="1" ht="15">
      <c r="C30" s="122"/>
      <c r="D30" s="122"/>
      <c r="E30" s="122"/>
      <c r="G30" s="122"/>
    </row>
    <row r="31" spans="1:12" s="83" customFormat="1" ht="15">
      <c r="D31" s="23"/>
      <c r="E31" s="122"/>
    </row>
    <row r="32" spans="1:12" s="83" customFormat="1" ht="15">
      <c r="D32" s="23"/>
    </row>
    <row r="33" spans="3:7" s="83" customFormat="1" ht="15">
      <c r="D33" s="23"/>
    </row>
    <row r="34" spans="3:7" s="83" customFormat="1" ht="15">
      <c r="D34" s="23"/>
    </row>
    <row r="35" spans="3:7" s="83" customFormat="1" ht="15">
      <c r="D35" s="23"/>
    </row>
    <row r="36" spans="3:7" s="83" customFormat="1" ht="15">
      <c r="D36" s="23"/>
      <c r="F36" s="122"/>
      <c r="G36" s="122"/>
    </row>
    <row r="37" spans="3:7" s="83" customFormat="1" ht="15">
      <c r="D37" s="23"/>
      <c r="E37" s="122"/>
      <c r="F37" s="122"/>
      <c r="G37" s="122"/>
    </row>
    <row r="38" spans="3:7" s="83" customFormat="1" ht="15">
      <c r="C38" s="122"/>
      <c r="D38" s="23"/>
      <c r="E38" s="122"/>
    </row>
    <row r="39" spans="3:7" s="83" customFormat="1" ht="15">
      <c r="D39" s="23"/>
    </row>
    <row r="40" spans="3:7" s="83" customFormat="1" ht="15">
      <c r="D40" s="23"/>
      <c r="E40" s="122"/>
      <c r="F40" s="122"/>
      <c r="G40" s="122"/>
    </row>
    <row r="41" spans="3:7" s="83" customFormat="1" ht="15">
      <c r="C41" s="122"/>
      <c r="D41" s="23"/>
      <c r="E41" s="122"/>
    </row>
    <row r="42" spans="3:7" s="83" customFormat="1" ht="15">
      <c r="D42" s="23"/>
    </row>
    <row r="43" spans="3:7" s="83" customFormat="1" ht="15">
      <c r="D43" s="23"/>
    </row>
    <row r="44" spans="3:7" s="83" customFormat="1" ht="15">
      <c r="D44" s="23"/>
    </row>
    <row r="45" spans="3:7" s="83" customFormat="1" ht="15"/>
    <row r="46" spans="3:7" s="83" customFormat="1" ht="15"/>
    <row r="47" spans="3:7" s="83" customFormat="1" ht="15"/>
    <row r="48" spans="3:7" s="83" customFormat="1" ht="15"/>
    <row r="49" s="83" customFormat="1" ht="15"/>
    <row r="50" s="83" customFormat="1" ht="15"/>
    <row r="51" s="83" customFormat="1" ht="15"/>
    <row r="52" s="83" customFormat="1" ht="15"/>
    <row r="53" s="83" customFormat="1" ht="15"/>
    <row r="54" s="83" customFormat="1" ht="15"/>
    <row r="55" s="83" customFormat="1" ht="15"/>
    <row r="56" s="83" customFormat="1" ht="15"/>
    <row r="57" s="83" customFormat="1" ht="15"/>
    <row r="58" s="83" customFormat="1" ht="15"/>
    <row r="59" s="83" customFormat="1" ht="15"/>
    <row r="60" s="83" customFormat="1" ht="15"/>
    <row r="61" s="83" customFormat="1" ht="15"/>
    <row r="62" s="83" customFormat="1" ht="15"/>
    <row r="63" s="83" customFormat="1" ht="15"/>
    <row r="64" s="83" customFormat="1" ht="15"/>
    <row r="65" s="83" customFormat="1" ht="15"/>
    <row r="66" s="83" customFormat="1" ht="15"/>
    <row r="67" s="83" customFormat="1" ht="15"/>
    <row r="68" s="83" customFormat="1" ht="15"/>
    <row r="69" s="83" customFormat="1" ht="15"/>
    <row r="70" s="83" customFormat="1" ht="15"/>
    <row r="71" s="83" customFormat="1" ht="15"/>
    <row r="72" s="83" customFormat="1" ht="15"/>
    <row r="73" s="83" customFormat="1" ht="15"/>
    <row r="74" s="83" customFormat="1" ht="15"/>
    <row r="75" s="83" customFormat="1" ht="15"/>
    <row r="76" s="83" customFormat="1" ht="15"/>
    <row r="77" s="83" customFormat="1" ht="15"/>
    <row r="78" s="83" customFormat="1" ht="15"/>
    <row r="79" s="83" customFormat="1" ht="15"/>
    <row r="80" s="83" customFormat="1" ht="15"/>
    <row r="81" s="83" customFormat="1" ht="15"/>
    <row r="82" s="83" customFormat="1" ht="15"/>
    <row r="83" s="83" customFormat="1" ht="15"/>
    <row r="84" s="83" customFormat="1" ht="15"/>
    <row r="85" s="83" customFormat="1" ht="15"/>
    <row r="86" s="83" customFormat="1" ht="15"/>
    <row r="87" s="83" customFormat="1" ht="15"/>
    <row r="88" s="83" customFormat="1" ht="15"/>
    <row r="89" s="83" customFormat="1" ht="15"/>
    <row r="90" s="83" customFormat="1" ht="15"/>
    <row r="91" s="83" customFormat="1" ht="15"/>
    <row r="92" s="83" customFormat="1" ht="15"/>
    <row r="93" s="83" customFormat="1" ht="15"/>
    <row r="94" s="83" customFormat="1" ht="15"/>
    <row r="95" s="83" customFormat="1" ht="15"/>
    <row r="96" s="83" customFormat="1" ht="15"/>
    <row r="97" s="83" customFormat="1" ht="15"/>
    <row r="98" s="83" customFormat="1" ht="15"/>
    <row r="99" s="83" customFormat="1" ht="15"/>
    <row r="100" s="83" customFormat="1" ht="15"/>
    <row r="101" s="83" customFormat="1" ht="15"/>
    <row r="102" s="83" customFormat="1" ht="15"/>
    <row r="103" s="83" customFormat="1" ht="15"/>
    <row r="104" s="83" customFormat="1" ht="15"/>
    <row r="105" s="83" customFormat="1" ht="15"/>
    <row r="106" s="83" customFormat="1" ht="15"/>
    <row r="107" s="83" customFormat="1" ht="15"/>
    <row r="108" s="83" customFormat="1" ht="15"/>
    <row r="109" s="83" customFormat="1" ht="15"/>
    <row r="110" s="83" customFormat="1" ht="15"/>
    <row r="111" s="83" customFormat="1" ht="15"/>
    <row r="112" s="83" customFormat="1" ht="15"/>
    <row r="113" s="83" customFormat="1" ht="15"/>
    <row r="114" s="83" customFormat="1" ht="15"/>
    <row r="115" s="83" customFormat="1" ht="15"/>
    <row r="116" s="83" customFormat="1" ht="15"/>
    <row r="117" s="83" customFormat="1" ht="15"/>
    <row r="118" s="83" customFormat="1" ht="15"/>
    <row r="119" s="83" customFormat="1" ht="15"/>
    <row r="120" s="83" customFormat="1" ht="15"/>
    <row r="121" s="83" customFormat="1" ht="15"/>
    <row r="122" s="83" customFormat="1" ht="15"/>
    <row r="123" s="83" customFormat="1" ht="15"/>
    <row r="124" s="83" customFormat="1" ht="15"/>
    <row r="125" s="83" customFormat="1" ht="15"/>
    <row r="126" s="83" customFormat="1" ht="15"/>
    <row r="127" s="83" customFormat="1" ht="15"/>
    <row r="128" s="83" customFormat="1" ht="15"/>
    <row r="129" s="83" customFormat="1" ht="15"/>
    <row r="130" s="83" customFormat="1" ht="15"/>
    <row r="131" s="83" customFormat="1" ht="15"/>
    <row r="132" s="83" customFormat="1" ht="15"/>
    <row r="133" s="83" customFormat="1" ht="15"/>
    <row r="134" s="83" customFormat="1" ht="15"/>
    <row r="135" s="83" customFormat="1" ht="15"/>
    <row r="136" s="83" customFormat="1" ht="15"/>
    <row r="137" s="83" customFormat="1" ht="15"/>
    <row r="138" s="83" customFormat="1" ht="15"/>
    <row r="139" s="83" customFormat="1" ht="15"/>
    <row r="140" s="83" customFormat="1" ht="15"/>
    <row r="141" s="83" customFormat="1" ht="15"/>
    <row r="142" s="83" customFormat="1" ht="15"/>
    <row r="143" s="83" customFormat="1" ht="15"/>
    <row r="144" s="83" customFormat="1" ht="15"/>
    <row r="145" s="83" customFormat="1" ht="15"/>
    <row r="146" s="83" customFormat="1" ht="15"/>
    <row r="147" s="83" customFormat="1" ht="15"/>
    <row r="148" s="83" customFormat="1" ht="15"/>
    <row r="149" s="83" customFormat="1" ht="15"/>
    <row r="150" s="83" customFormat="1" ht="15"/>
    <row r="151" s="83" customFormat="1" ht="15"/>
    <row r="152" s="83" customFormat="1" ht="15"/>
    <row r="153" s="83" customFormat="1" ht="15"/>
    <row r="154" s="83" customFormat="1" ht="15"/>
    <row r="155" s="83" customFormat="1" ht="15"/>
    <row r="156" s="83" customFormat="1" ht="15"/>
    <row r="157" s="83" customFormat="1" ht="15"/>
    <row r="158" s="83" customFormat="1" ht="15"/>
    <row r="159" s="83" customFormat="1" ht="15"/>
    <row r="160" s="83" customFormat="1" ht="15"/>
    <row r="161" s="83" customFormat="1" ht="15"/>
    <row r="162" s="83" customFormat="1" ht="15"/>
    <row r="163" s="83" customFormat="1" ht="15"/>
    <row r="164" s="83" customFormat="1" ht="15"/>
    <row r="165" s="83" customFormat="1" ht="15"/>
    <row r="166" s="83" customFormat="1" ht="15"/>
    <row r="167" s="83" customFormat="1" ht="15"/>
    <row r="168" s="83" customFormat="1" ht="15"/>
    <row r="169" s="83" customFormat="1" ht="15"/>
    <row r="170" s="83" customFormat="1" ht="15"/>
    <row r="171" s="83" customFormat="1" ht="15"/>
    <row r="172" s="83" customFormat="1" ht="15"/>
    <row r="173" s="83" customFormat="1" ht="15"/>
    <row r="174" s="83" customFormat="1" ht="15"/>
    <row r="175" s="83" customFormat="1" ht="15"/>
    <row r="176" s="83" customFormat="1" ht="15"/>
    <row r="177" s="83" customFormat="1" ht="15"/>
    <row r="178" s="83" customFormat="1" ht="15"/>
    <row r="179" s="83" customFormat="1" ht="15"/>
    <row r="180" s="83" customFormat="1" ht="15"/>
    <row r="181" s="83" customFormat="1" ht="15"/>
    <row r="182" s="83" customFormat="1" ht="15"/>
    <row r="183" s="83" customFormat="1" ht="15"/>
    <row r="184" s="83" customFormat="1" ht="15"/>
    <row r="185" s="83" customFormat="1" ht="15"/>
    <row r="186" s="83" customFormat="1" ht="15"/>
    <row r="187" s="83" customFormat="1" ht="15"/>
    <row r="188" s="83" customFormat="1" ht="15"/>
    <row r="189" s="83" customFormat="1" ht="15"/>
    <row r="190" s="83" customFormat="1" ht="15"/>
    <row r="191" s="83" customFormat="1" ht="15"/>
    <row r="192" s="83" customFormat="1" ht="15"/>
    <row r="193" s="83" customFormat="1" ht="15"/>
    <row r="194" s="83" customFormat="1" ht="15"/>
    <row r="195" s="83" customFormat="1" ht="15"/>
    <row r="196" s="83" customFormat="1" ht="15"/>
    <row r="197" s="83" customFormat="1" ht="15"/>
    <row r="198" s="83" customFormat="1" ht="15"/>
    <row r="199" s="83" customFormat="1" ht="15"/>
    <row r="200" s="83" customFormat="1" ht="15"/>
    <row r="201" s="83" customFormat="1" ht="15"/>
    <row r="202" s="83" customFormat="1" ht="15"/>
    <row r="203" s="83" customFormat="1" ht="15"/>
    <row r="204" s="83" customFormat="1" ht="15"/>
  </sheetData>
  <mergeCells count="7">
    <mergeCell ref="A1:A2"/>
    <mergeCell ref="B1:H2"/>
    <mergeCell ref="I1:I4"/>
    <mergeCell ref="B3:H3"/>
    <mergeCell ref="C21:D21"/>
    <mergeCell ref="E21:F21"/>
    <mergeCell ref="G21:H2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61633-60FA-1842-B51C-9F09430A836E}">
  <dimension ref="A1:S203"/>
  <sheetViews>
    <sheetView workbookViewId="0">
      <selection sqref="A1:XFD1048576"/>
    </sheetView>
  </sheetViews>
  <sheetFormatPr baseColWidth="10" defaultRowHeight="16"/>
  <cols>
    <col min="1" max="1" width="58.33203125" bestFit="1" customWidth="1"/>
    <col min="2" max="3" width="8.1640625" bestFit="1" customWidth="1"/>
    <col min="4" max="4" width="9.1640625" bestFit="1" customWidth="1"/>
    <col min="5" max="5" width="8.1640625" bestFit="1" customWidth="1"/>
    <col min="6" max="6" width="9.1640625" bestFit="1" customWidth="1"/>
    <col min="7" max="7" width="8.1640625" bestFit="1" customWidth="1"/>
    <col min="8" max="8" width="9.1640625" bestFit="1" customWidth="1"/>
    <col min="9" max="10" width="8.1640625" bestFit="1" customWidth="1"/>
    <col min="11" max="11" width="9.1640625" bestFit="1" customWidth="1"/>
    <col min="12" max="12" width="8.1640625" bestFit="1" customWidth="1"/>
    <col min="13" max="13" width="9.1640625" bestFit="1" customWidth="1"/>
    <col min="14" max="14" width="8.1640625" bestFit="1" customWidth="1"/>
    <col min="15" max="15" width="9.1640625" bestFit="1" customWidth="1"/>
  </cols>
  <sheetData>
    <row r="1" spans="1:16">
      <c r="A1" s="90" t="s">
        <v>69</v>
      </c>
      <c r="B1" s="100" t="s">
        <v>182</v>
      </c>
      <c r="C1" s="147"/>
      <c r="D1" s="147"/>
      <c r="E1" s="147"/>
      <c r="F1" s="147"/>
      <c r="G1" s="147"/>
      <c r="H1" s="148"/>
      <c r="I1" s="100" t="s">
        <v>1163</v>
      </c>
      <c r="J1" s="147"/>
      <c r="K1" s="147"/>
      <c r="L1" s="147"/>
      <c r="M1" s="147"/>
      <c r="N1" s="147"/>
      <c r="O1" s="148"/>
      <c r="P1" s="194" t="s">
        <v>143</v>
      </c>
    </row>
    <row r="2" spans="1:16">
      <c r="A2" s="93"/>
      <c r="B2" s="104"/>
      <c r="C2" s="96"/>
      <c r="D2" s="96"/>
      <c r="E2" s="96"/>
      <c r="F2" s="96"/>
      <c r="G2" s="96"/>
      <c r="H2" s="151"/>
      <c r="I2" s="104"/>
      <c r="J2" s="96"/>
      <c r="K2" s="96"/>
      <c r="L2" s="96"/>
      <c r="M2" s="96"/>
      <c r="N2" s="96"/>
      <c r="O2" s="151"/>
      <c r="P2" s="195"/>
    </row>
    <row r="3" spans="1:16" ht="17" thickBot="1">
      <c r="A3" s="77"/>
      <c r="B3" s="235" t="s">
        <v>184</v>
      </c>
      <c r="C3" s="236"/>
      <c r="D3" s="236"/>
      <c r="E3" s="236"/>
      <c r="F3" s="236"/>
      <c r="G3" s="236"/>
      <c r="H3" s="237"/>
      <c r="I3" s="235" t="s">
        <v>185</v>
      </c>
      <c r="J3" s="236"/>
      <c r="K3" s="236"/>
      <c r="L3" s="236"/>
      <c r="M3" s="236"/>
      <c r="N3" s="236"/>
      <c r="O3" s="237"/>
      <c r="P3" s="195"/>
    </row>
    <row r="4" spans="1:16" ht="17" thickTop="1">
      <c r="A4" s="160" t="s">
        <v>128</v>
      </c>
      <c r="B4" s="185" t="s">
        <v>0</v>
      </c>
      <c r="C4" s="77" t="s">
        <v>506</v>
      </c>
      <c r="D4" s="79" t="s">
        <v>949</v>
      </c>
      <c r="E4" s="14" t="s">
        <v>508</v>
      </c>
      <c r="F4" s="16" t="s">
        <v>950</v>
      </c>
      <c r="G4" s="78" t="s">
        <v>509</v>
      </c>
      <c r="H4" s="239" t="s">
        <v>951</v>
      </c>
      <c r="I4" s="185" t="s">
        <v>0</v>
      </c>
      <c r="J4" s="77" t="s">
        <v>506</v>
      </c>
      <c r="K4" s="79" t="s">
        <v>949</v>
      </c>
      <c r="L4" s="77" t="s">
        <v>508</v>
      </c>
      <c r="M4" s="16" t="s">
        <v>950</v>
      </c>
      <c r="N4" s="78" t="s">
        <v>509</v>
      </c>
      <c r="O4" s="239" t="s">
        <v>951</v>
      </c>
      <c r="P4" s="196"/>
    </row>
    <row r="5" spans="1:16">
      <c r="A5" s="240" t="s">
        <v>130</v>
      </c>
      <c r="B5" s="228" t="s">
        <v>810</v>
      </c>
      <c r="C5" s="244">
        <v>8742</v>
      </c>
      <c r="D5" s="241" t="s">
        <v>244</v>
      </c>
      <c r="E5" s="126">
        <v>8553</v>
      </c>
      <c r="F5" s="25">
        <v>0</v>
      </c>
      <c r="G5" s="122">
        <v>9126</v>
      </c>
      <c r="H5" s="123" t="s">
        <v>547</v>
      </c>
      <c r="I5" s="228">
        <v>6305</v>
      </c>
      <c r="J5" s="244" t="s">
        <v>811</v>
      </c>
      <c r="K5" s="241" t="s">
        <v>740</v>
      </c>
      <c r="L5" s="122">
        <v>8500</v>
      </c>
      <c r="M5" s="127" t="s">
        <v>611</v>
      </c>
      <c r="N5" s="122">
        <v>7273</v>
      </c>
      <c r="O5" s="123" t="s">
        <v>249</v>
      </c>
      <c r="P5" s="145">
        <v>8209</v>
      </c>
    </row>
    <row r="6" spans="1:16">
      <c r="A6" s="197" t="s">
        <v>497</v>
      </c>
      <c r="B6" s="164">
        <v>-3662</v>
      </c>
      <c r="C6" s="126">
        <v>-4064</v>
      </c>
      <c r="D6" s="168">
        <v>0.02</v>
      </c>
      <c r="E6" s="126">
        <v>-4228</v>
      </c>
      <c r="F6" s="127" t="s">
        <v>244</v>
      </c>
      <c r="G6" s="122">
        <v>-3693</v>
      </c>
      <c r="H6" s="128" t="s">
        <v>247</v>
      </c>
      <c r="I6" s="167" t="s">
        <v>812</v>
      </c>
      <c r="J6" s="126">
        <v>-4535</v>
      </c>
      <c r="K6" s="144" t="s">
        <v>397</v>
      </c>
      <c r="L6" s="122">
        <v>-4705</v>
      </c>
      <c r="M6" s="127" t="s">
        <v>385</v>
      </c>
      <c r="N6" s="122">
        <v>-4365</v>
      </c>
      <c r="O6" s="128" t="s">
        <v>470</v>
      </c>
      <c r="P6" s="76" t="s">
        <v>550</v>
      </c>
    </row>
    <row r="7" spans="1:16">
      <c r="A7" s="197" t="s">
        <v>551</v>
      </c>
      <c r="B7" s="167" t="s">
        <v>783</v>
      </c>
      <c r="C7" s="75" t="s">
        <v>652</v>
      </c>
      <c r="D7" s="168" t="s">
        <v>236</v>
      </c>
      <c r="E7" s="75" t="s">
        <v>590</v>
      </c>
      <c r="F7" s="25">
        <v>0</v>
      </c>
      <c r="G7" s="122" t="s">
        <v>109</v>
      </c>
      <c r="H7" s="128" t="s">
        <v>848</v>
      </c>
      <c r="I7" s="167" t="s">
        <v>577</v>
      </c>
      <c r="J7" s="75" t="s">
        <v>119</v>
      </c>
      <c r="K7" s="168" t="s">
        <v>286</v>
      </c>
      <c r="L7" s="83" t="s">
        <v>684</v>
      </c>
      <c r="M7" s="25">
        <v>0.1</v>
      </c>
      <c r="N7" s="83" t="s">
        <v>26</v>
      </c>
      <c r="O7" s="128" t="s">
        <v>293</v>
      </c>
      <c r="P7" s="76" t="s">
        <v>11</v>
      </c>
    </row>
    <row r="8" spans="1:16">
      <c r="A8" s="197" t="s">
        <v>132</v>
      </c>
      <c r="B8" s="167" t="s">
        <v>571</v>
      </c>
      <c r="C8" s="75" t="s">
        <v>643</v>
      </c>
      <c r="D8" s="144" t="s">
        <v>545</v>
      </c>
      <c r="E8" s="75" t="s">
        <v>874</v>
      </c>
      <c r="F8" s="127" t="s">
        <v>274</v>
      </c>
      <c r="G8" s="122" t="s">
        <v>757</v>
      </c>
      <c r="H8" s="128" t="s">
        <v>702</v>
      </c>
      <c r="I8" s="167" t="s">
        <v>706</v>
      </c>
      <c r="J8" s="75" t="s">
        <v>813</v>
      </c>
      <c r="K8" s="144" t="s">
        <v>632</v>
      </c>
      <c r="L8" s="83" t="s">
        <v>836</v>
      </c>
      <c r="M8" s="127" t="s">
        <v>477</v>
      </c>
      <c r="N8" s="83" t="s">
        <v>1081</v>
      </c>
      <c r="O8" s="128" t="s">
        <v>474</v>
      </c>
      <c r="P8" s="76" t="s">
        <v>29</v>
      </c>
    </row>
    <row r="9" spans="1:16">
      <c r="A9" s="197" t="s">
        <v>133</v>
      </c>
      <c r="B9" s="167" t="s">
        <v>756</v>
      </c>
      <c r="C9" s="75" t="s">
        <v>561</v>
      </c>
      <c r="D9" s="168">
        <v>0</v>
      </c>
      <c r="E9" s="75" t="s">
        <v>757</v>
      </c>
      <c r="F9" s="25">
        <v>0</v>
      </c>
      <c r="G9" s="83" t="s">
        <v>1164</v>
      </c>
      <c r="H9" s="135">
        <v>0</v>
      </c>
      <c r="I9" s="167" t="s">
        <v>814</v>
      </c>
      <c r="J9" s="75" t="s">
        <v>85</v>
      </c>
      <c r="K9" s="144" t="s">
        <v>425</v>
      </c>
      <c r="L9" s="83" t="s">
        <v>564</v>
      </c>
      <c r="M9" s="127" t="s">
        <v>361</v>
      </c>
      <c r="N9" s="83" t="s">
        <v>97</v>
      </c>
      <c r="O9" s="128" t="s">
        <v>261</v>
      </c>
      <c r="P9" s="76" t="s">
        <v>30</v>
      </c>
    </row>
    <row r="10" spans="1:16">
      <c r="A10" s="197" t="s">
        <v>134</v>
      </c>
      <c r="B10" s="167" t="s">
        <v>42</v>
      </c>
      <c r="C10" s="75" t="s">
        <v>98</v>
      </c>
      <c r="D10" s="144" t="s">
        <v>267</v>
      </c>
      <c r="E10" s="75" t="s">
        <v>27</v>
      </c>
      <c r="F10" s="127" t="s">
        <v>822</v>
      </c>
      <c r="G10" s="83" t="s">
        <v>608</v>
      </c>
      <c r="H10" s="135">
        <v>0</v>
      </c>
      <c r="I10" s="167" t="s">
        <v>10</v>
      </c>
      <c r="J10" s="75" t="s">
        <v>781</v>
      </c>
      <c r="K10" s="144" t="s">
        <v>692</v>
      </c>
      <c r="L10" s="259" t="s">
        <v>79</v>
      </c>
      <c r="M10" s="127" t="s">
        <v>692</v>
      </c>
      <c r="N10" s="83" t="s">
        <v>2</v>
      </c>
      <c r="O10" s="128" t="s">
        <v>301</v>
      </c>
      <c r="P10" s="76" t="s">
        <v>31</v>
      </c>
    </row>
    <row r="11" spans="1:16">
      <c r="A11" s="197" t="s">
        <v>135</v>
      </c>
      <c r="B11" s="167" t="s">
        <v>588</v>
      </c>
      <c r="C11" s="75" t="s">
        <v>588</v>
      </c>
      <c r="D11" s="144" t="s">
        <v>275</v>
      </c>
      <c r="E11" s="260" t="s">
        <v>587</v>
      </c>
      <c r="F11" s="127" t="s">
        <v>405</v>
      </c>
      <c r="G11" s="83" t="s">
        <v>570</v>
      </c>
      <c r="H11" s="135">
        <v>0</v>
      </c>
      <c r="I11" s="167" t="s">
        <v>105</v>
      </c>
      <c r="J11" s="75" t="s">
        <v>592</v>
      </c>
      <c r="K11" s="144" t="s">
        <v>692</v>
      </c>
      <c r="L11" s="261" t="s">
        <v>14</v>
      </c>
      <c r="M11" s="127" t="s">
        <v>1165</v>
      </c>
      <c r="N11" s="83" t="s">
        <v>690</v>
      </c>
      <c r="O11" s="128" t="s">
        <v>295</v>
      </c>
      <c r="P11" s="76" t="s">
        <v>32</v>
      </c>
    </row>
    <row r="12" spans="1:16">
      <c r="A12" s="197" t="s">
        <v>136</v>
      </c>
      <c r="B12" s="164">
        <v>2287</v>
      </c>
      <c r="C12" s="126" t="s">
        <v>815</v>
      </c>
      <c r="D12" s="144">
        <v>0</v>
      </c>
      <c r="E12" s="262">
        <v>1358</v>
      </c>
      <c r="F12" s="25">
        <v>0</v>
      </c>
      <c r="G12" s="261">
        <v>2152</v>
      </c>
      <c r="H12" s="128" t="s">
        <v>1166</v>
      </c>
      <c r="I12" s="164">
        <v>2287</v>
      </c>
      <c r="J12" s="126">
        <v>1975</v>
      </c>
      <c r="K12" s="144" t="s">
        <v>702</v>
      </c>
      <c r="L12" s="261">
        <v>1576</v>
      </c>
      <c r="M12" s="127" t="s">
        <v>266</v>
      </c>
      <c r="N12" s="122">
        <v>1975</v>
      </c>
      <c r="O12" s="128" t="s">
        <v>286</v>
      </c>
      <c r="P12" s="145">
        <v>1044</v>
      </c>
    </row>
    <row r="13" spans="1:16">
      <c r="A13" s="197" t="s">
        <v>498</v>
      </c>
      <c r="B13" s="164">
        <v>11721</v>
      </c>
      <c r="C13" s="126">
        <v>11737</v>
      </c>
      <c r="D13" s="144" t="s">
        <v>816</v>
      </c>
      <c r="E13" s="262">
        <v>11719</v>
      </c>
      <c r="F13" s="127" t="s">
        <v>397</v>
      </c>
      <c r="G13" s="261">
        <v>11983</v>
      </c>
      <c r="H13" s="135">
        <v>0</v>
      </c>
      <c r="I13" s="164">
        <v>9236</v>
      </c>
      <c r="J13" s="126" t="s">
        <v>817</v>
      </c>
      <c r="K13" s="144" t="s">
        <v>305</v>
      </c>
      <c r="L13" s="259" t="s">
        <v>1167</v>
      </c>
      <c r="M13" s="25">
        <v>0</v>
      </c>
      <c r="N13" s="122">
        <v>10487</v>
      </c>
      <c r="O13" s="135">
        <v>0.12</v>
      </c>
      <c r="P13" s="145">
        <v>11827</v>
      </c>
    </row>
    <row r="14" spans="1:16">
      <c r="A14" s="197" t="s">
        <v>137</v>
      </c>
      <c r="B14" s="167" t="s">
        <v>818</v>
      </c>
      <c r="C14" s="75" t="s">
        <v>819</v>
      </c>
      <c r="D14" s="144" t="s">
        <v>248</v>
      </c>
      <c r="E14" s="260" t="s">
        <v>564</v>
      </c>
      <c r="F14" s="127" t="s">
        <v>896</v>
      </c>
      <c r="G14" s="261" t="s">
        <v>846</v>
      </c>
      <c r="H14" s="135">
        <v>0</v>
      </c>
      <c r="I14" s="167" t="s">
        <v>626</v>
      </c>
      <c r="J14" s="75" t="s">
        <v>103</v>
      </c>
      <c r="K14" s="144" t="s">
        <v>296</v>
      </c>
      <c r="L14" s="259" t="s">
        <v>832</v>
      </c>
      <c r="M14" s="25">
        <v>0</v>
      </c>
      <c r="N14" s="83" t="s">
        <v>559</v>
      </c>
      <c r="O14" s="128" t="s">
        <v>401</v>
      </c>
      <c r="P14" s="76" t="s">
        <v>33</v>
      </c>
    </row>
    <row r="15" spans="1:16">
      <c r="A15" s="197" t="s">
        <v>138</v>
      </c>
      <c r="B15" s="167" t="s">
        <v>572</v>
      </c>
      <c r="C15" s="75" t="s">
        <v>74</v>
      </c>
      <c r="D15" s="168">
        <v>0</v>
      </c>
      <c r="E15" s="260" t="s">
        <v>110</v>
      </c>
      <c r="F15" s="127" t="s">
        <v>385</v>
      </c>
      <c r="G15" s="259" t="s">
        <v>687</v>
      </c>
      <c r="H15" s="135">
        <v>0</v>
      </c>
      <c r="I15" s="167" t="s">
        <v>820</v>
      </c>
      <c r="J15" s="75" t="s">
        <v>74</v>
      </c>
      <c r="K15" s="144" t="s">
        <v>385</v>
      </c>
      <c r="L15" s="261" t="s">
        <v>26</v>
      </c>
      <c r="M15" s="127" t="s">
        <v>279</v>
      </c>
      <c r="N15" s="83" t="s">
        <v>652</v>
      </c>
      <c r="O15" s="128" t="s">
        <v>296</v>
      </c>
      <c r="P15" s="76" t="s">
        <v>34</v>
      </c>
    </row>
    <row r="16" spans="1:16">
      <c r="A16" s="197" t="s">
        <v>139</v>
      </c>
      <c r="B16" s="164">
        <v>3552</v>
      </c>
      <c r="C16" s="126">
        <v>3551</v>
      </c>
      <c r="D16" s="168">
        <v>0.08</v>
      </c>
      <c r="E16" s="262">
        <v>3496</v>
      </c>
      <c r="F16" s="127" t="s">
        <v>240</v>
      </c>
      <c r="G16" s="261">
        <v>3677</v>
      </c>
      <c r="H16" s="128" t="s">
        <v>256</v>
      </c>
      <c r="I16" s="164">
        <v>3499</v>
      </c>
      <c r="J16" s="126" t="s">
        <v>821</v>
      </c>
      <c r="K16" s="144" t="s">
        <v>261</v>
      </c>
      <c r="L16" s="261">
        <v>3374</v>
      </c>
      <c r="M16" s="127" t="s">
        <v>236</v>
      </c>
      <c r="N16" s="122">
        <v>3506</v>
      </c>
      <c r="O16" s="128" t="s">
        <v>474</v>
      </c>
      <c r="P16" s="145">
        <v>3568</v>
      </c>
    </row>
    <row r="17" spans="1:19">
      <c r="A17" s="197" t="s">
        <v>140</v>
      </c>
      <c r="B17" s="167" t="s">
        <v>783</v>
      </c>
      <c r="C17" s="75" t="s">
        <v>109</v>
      </c>
      <c r="D17" s="144" t="s">
        <v>553</v>
      </c>
      <c r="E17" s="247" t="s">
        <v>970</v>
      </c>
      <c r="F17" s="127" t="s">
        <v>970</v>
      </c>
      <c r="G17" s="169" t="s">
        <v>970</v>
      </c>
      <c r="H17" s="248" t="s">
        <v>970</v>
      </c>
      <c r="I17" s="167" t="s">
        <v>18</v>
      </c>
      <c r="J17" s="75" t="s">
        <v>681</v>
      </c>
      <c r="K17" s="144" t="s">
        <v>275</v>
      </c>
      <c r="L17" s="247" t="s">
        <v>970</v>
      </c>
      <c r="M17" s="127" t="s">
        <v>970</v>
      </c>
      <c r="N17" s="245" t="s">
        <v>970</v>
      </c>
      <c r="O17" s="248" t="s">
        <v>970</v>
      </c>
      <c r="P17" s="76" t="s">
        <v>35</v>
      </c>
    </row>
    <row r="18" spans="1:19">
      <c r="A18" s="197" t="s">
        <v>141</v>
      </c>
      <c r="B18" s="167" t="s">
        <v>2</v>
      </c>
      <c r="C18" s="75" t="s">
        <v>104</v>
      </c>
      <c r="D18" s="144" t="s">
        <v>822</v>
      </c>
      <c r="E18" s="247" t="s">
        <v>970</v>
      </c>
      <c r="F18" s="127" t="s">
        <v>970</v>
      </c>
      <c r="G18" s="169" t="s">
        <v>970</v>
      </c>
      <c r="H18" s="248" t="s">
        <v>970</v>
      </c>
      <c r="I18" s="167" t="s">
        <v>43</v>
      </c>
      <c r="J18" s="75" t="s">
        <v>104</v>
      </c>
      <c r="K18" s="144" t="s">
        <v>299</v>
      </c>
      <c r="L18" s="247" t="s">
        <v>970</v>
      </c>
      <c r="M18" s="127" t="s">
        <v>970</v>
      </c>
      <c r="N18" s="245" t="s">
        <v>970</v>
      </c>
      <c r="O18" s="248" t="s">
        <v>970</v>
      </c>
      <c r="P18" s="76" t="s">
        <v>36</v>
      </c>
    </row>
    <row r="19" spans="1:19">
      <c r="A19" s="197" t="s">
        <v>142</v>
      </c>
      <c r="B19" s="167" t="s">
        <v>73</v>
      </c>
      <c r="C19" s="75" t="s">
        <v>93</v>
      </c>
      <c r="D19" s="168">
        <v>0.2</v>
      </c>
      <c r="E19" s="260" t="s">
        <v>95</v>
      </c>
      <c r="F19" s="127" t="s">
        <v>398</v>
      </c>
      <c r="G19" s="83" t="s">
        <v>970</v>
      </c>
      <c r="H19" s="249" t="s">
        <v>970</v>
      </c>
      <c r="I19" s="167" t="s">
        <v>792</v>
      </c>
      <c r="J19" s="75" t="s">
        <v>781</v>
      </c>
      <c r="K19" s="168" t="s">
        <v>258</v>
      </c>
      <c r="L19" s="259" t="s">
        <v>80</v>
      </c>
      <c r="M19" s="23" t="s">
        <v>856</v>
      </c>
      <c r="N19" s="75" t="s">
        <v>970</v>
      </c>
      <c r="O19" s="249" t="s">
        <v>970</v>
      </c>
      <c r="P19" s="76" t="s">
        <v>38</v>
      </c>
    </row>
    <row r="20" spans="1:19" s="270" customFormat="1" ht="17" thickBot="1">
      <c r="A20" s="200" t="s">
        <v>971</v>
      </c>
      <c r="B20" s="202"/>
      <c r="C20" s="263" t="s">
        <v>970</v>
      </c>
      <c r="D20" s="264" t="s">
        <v>970</v>
      </c>
      <c r="E20" s="265" t="s">
        <v>607</v>
      </c>
      <c r="F20" s="251" t="s">
        <v>416</v>
      </c>
      <c r="G20" s="266" t="s">
        <v>970</v>
      </c>
      <c r="H20" s="267" t="s">
        <v>970</v>
      </c>
      <c r="I20" s="202"/>
      <c r="J20" s="263" t="s">
        <v>970</v>
      </c>
      <c r="K20" s="264" t="s">
        <v>970</v>
      </c>
      <c r="L20" s="176" t="s">
        <v>552</v>
      </c>
      <c r="M20" s="176" t="s">
        <v>411</v>
      </c>
      <c r="N20" s="250" t="s">
        <v>970</v>
      </c>
      <c r="O20" s="267" t="s">
        <v>970</v>
      </c>
      <c r="P20" s="268" t="s">
        <v>577</v>
      </c>
      <c r="Q20" s="269"/>
      <c r="R20" s="266"/>
      <c r="S20" s="266"/>
    </row>
    <row r="21" spans="1:19" ht="18" thickTop="1" thickBot="1">
      <c r="A21" s="253" t="s">
        <v>973</v>
      </c>
      <c r="B21" s="225"/>
      <c r="C21" s="271" t="s">
        <v>1168</v>
      </c>
      <c r="D21" s="272"/>
      <c r="E21" s="188" t="s">
        <v>783</v>
      </c>
      <c r="F21" s="187"/>
      <c r="G21" s="188" t="s">
        <v>1169</v>
      </c>
      <c r="H21" s="189"/>
      <c r="I21" s="225"/>
      <c r="J21" s="271" t="s">
        <v>1170</v>
      </c>
      <c r="K21" s="272"/>
      <c r="L21" s="188" t="s">
        <v>2</v>
      </c>
      <c r="M21" s="187"/>
      <c r="N21" s="188" t="s">
        <v>1171</v>
      </c>
      <c r="O21" s="189"/>
      <c r="P21" s="273"/>
    </row>
    <row r="22" spans="1:19" s="83" customFormat="1" ht="15"/>
    <row r="23" spans="1:19" s="83" customFormat="1" ht="15">
      <c r="D23" s="122"/>
      <c r="E23" s="122"/>
      <c r="J23" s="122"/>
      <c r="K23" s="122"/>
      <c r="L23" s="122"/>
    </row>
    <row r="24" spans="1:19" s="83" customFormat="1" ht="15">
      <c r="C24" s="122"/>
      <c r="D24" s="122"/>
      <c r="E24" s="122"/>
      <c r="H24" s="23"/>
      <c r="K24" s="122"/>
      <c r="L24" s="122"/>
    </row>
    <row r="25" spans="1:19" s="83" customFormat="1" ht="15">
      <c r="C25" s="122"/>
      <c r="D25" s="122"/>
      <c r="E25" s="122"/>
      <c r="G25" s="23"/>
      <c r="H25" s="23"/>
    </row>
    <row r="26" spans="1:19" s="83" customFormat="1" ht="15">
      <c r="D26" s="122"/>
      <c r="E26" s="122"/>
      <c r="G26" s="23"/>
      <c r="H26" s="23"/>
    </row>
    <row r="27" spans="1:19" s="83" customFormat="1" ht="15">
      <c r="G27" s="23"/>
      <c r="H27" s="23"/>
    </row>
    <row r="28" spans="1:19" s="83" customFormat="1" ht="15">
      <c r="E28" s="122"/>
      <c r="F28" s="122"/>
      <c r="G28" s="23"/>
      <c r="H28" s="23"/>
    </row>
    <row r="29" spans="1:19" s="83" customFormat="1" ht="15">
      <c r="C29" s="122"/>
      <c r="E29" s="122"/>
      <c r="G29" s="23"/>
      <c r="H29" s="23"/>
    </row>
    <row r="30" spans="1:19" s="83" customFormat="1" ht="15">
      <c r="C30" s="122"/>
      <c r="D30" s="261"/>
      <c r="E30" s="122"/>
      <c r="G30" s="23"/>
      <c r="H30" s="23"/>
      <c r="J30" s="122"/>
      <c r="K30" s="122"/>
      <c r="L30" s="122"/>
    </row>
    <row r="31" spans="1:19" s="83" customFormat="1" ht="15">
      <c r="C31" s="122"/>
      <c r="D31" s="261"/>
      <c r="E31" s="122"/>
      <c r="G31" s="23"/>
      <c r="H31" s="23"/>
      <c r="J31" s="122"/>
      <c r="K31" s="122"/>
      <c r="L31" s="122"/>
    </row>
    <row r="32" spans="1:19" s="83" customFormat="1" ht="15">
      <c r="C32" s="122"/>
      <c r="D32" s="261"/>
      <c r="E32" s="122"/>
      <c r="G32" s="23"/>
      <c r="H32" s="23"/>
    </row>
    <row r="33" spans="3:12" s="83" customFormat="1" ht="15">
      <c r="C33" s="122"/>
      <c r="D33" s="259"/>
      <c r="E33" s="122"/>
      <c r="G33" s="23"/>
      <c r="H33" s="23"/>
    </row>
    <row r="34" spans="3:12" s="83" customFormat="1" ht="15">
      <c r="C34" s="122"/>
      <c r="D34" s="261"/>
      <c r="E34" s="122"/>
      <c r="G34" s="23"/>
      <c r="H34" s="23"/>
      <c r="J34" s="122"/>
      <c r="K34" s="122"/>
      <c r="L34" s="122"/>
    </row>
    <row r="35" spans="3:12" s="83" customFormat="1" ht="15">
      <c r="C35" s="122"/>
      <c r="D35" s="261"/>
      <c r="E35" s="122"/>
      <c r="F35" s="122"/>
      <c r="G35" s="23"/>
      <c r="H35" s="23"/>
    </row>
    <row r="36" spans="3:12" s="83" customFormat="1" ht="15">
      <c r="C36" s="122"/>
      <c r="D36" s="261"/>
      <c r="E36" s="122"/>
      <c r="F36" s="122"/>
      <c r="G36" s="23"/>
      <c r="H36" s="23"/>
    </row>
    <row r="37" spans="3:12" s="83" customFormat="1" ht="15">
      <c r="C37" s="122"/>
      <c r="D37" s="259"/>
      <c r="E37" s="122"/>
      <c r="G37" s="23"/>
      <c r="H37" s="23"/>
    </row>
    <row r="38" spans="3:12" s="83" customFormat="1" ht="15">
      <c r="D38" s="23"/>
      <c r="G38" s="23"/>
    </row>
    <row r="39" spans="3:12" s="83" customFormat="1" ht="15">
      <c r="D39" s="23"/>
      <c r="E39" s="122"/>
      <c r="F39" s="122"/>
      <c r="G39" s="122"/>
    </row>
    <row r="40" spans="3:12" s="83" customFormat="1" ht="15">
      <c r="C40" s="122"/>
      <c r="D40" s="23"/>
      <c r="E40" s="122"/>
    </row>
    <row r="41" spans="3:12" s="83" customFormat="1" ht="15">
      <c r="D41" s="23"/>
    </row>
    <row r="42" spans="3:12" s="83" customFormat="1" ht="15">
      <c r="D42" s="23"/>
    </row>
    <row r="43" spans="3:12" s="83" customFormat="1" ht="15">
      <c r="D43" s="23"/>
    </row>
    <row r="44" spans="3:12" s="83" customFormat="1" ht="15"/>
    <row r="45" spans="3:12" s="83" customFormat="1" ht="15"/>
    <row r="46" spans="3:12" s="83" customFormat="1" ht="15"/>
    <row r="47" spans="3:12" s="83" customFormat="1" ht="15"/>
    <row r="48" spans="3:12" s="83" customFormat="1" ht="15"/>
    <row r="49" s="83" customFormat="1" ht="15"/>
    <row r="50" s="83" customFormat="1" ht="15"/>
    <row r="51" s="83" customFormat="1" ht="15"/>
    <row r="52" s="83" customFormat="1" ht="15"/>
    <row r="53" s="83" customFormat="1" ht="15"/>
    <row r="54" s="83" customFormat="1" ht="15"/>
    <row r="55" s="83" customFormat="1" ht="15"/>
    <row r="56" s="83" customFormat="1" ht="15"/>
    <row r="57" s="83" customFormat="1" ht="15"/>
    <row r="58" s="83" customFormat="1" ht="15"/>
    <row r="59" s="83" customFormat="1" ht="15"/>
    <row r="60" s="83" customFormat="1" ht="15"/>
    <row r="61" s="83" customFormat="1" ht="15"/>
    <row r="62" s="83" customFormat="1" ht="15"/>
    <row r="63" s="83" customFormat="1" ht="15"/>
    <row r="64" s="83" customFormat="1" ht="15"/>
    <row r="65" s="83" customFormat="1" ht="15"/>
    <row r="66" s="83" customFormat="1" ht="15"/>
    <row r="67" s="83" customFormat="1" ht="15"/>
    <row r="68" s="83" customFormat="1" ht="15"/>
    <row r="69" s="83" customFormat="1" ht="15"/>
    <row r="70" s="83" customFormat="1" ht="15"/>
    <row r="71" s="83" customFormat="1" ht="15"/>
    <row r="72" s="83" customFormat="1" ht="15"/>
    <row r="73" s="83" customFormat="1" ht="15"/>
    <row r="74" s="83" customFormat="1" ht="15"/>
    <row r="75" s="83" customFormat="1" ht="15"/>
    <row r="76" s="83" customFormat="1" ht="15"/>
    <row r="77" s="83" customFormat="1" ht="15"/>
    <row r="78" s="83" customFormat="1" ht="15"/>
    <row r="79" s="83" customFormat="1" ht="15"/>
    <row r="80" s="83" customFormat="1" ht="15"/>
    <row r="81" s="83" customFormat="1" ht="15"/>
    <row r="82" s="83" customFormat="1" ht="15"/>
    <row r="83" s="83" customFormat="1" ht="15"/>
    <row r="84" s="83" customFormat="1" ht="15"/>
    <row r="85" s="83" customFormat="1" ht="15"/>
    <row r="86" s="83" customFormat="1" ht="15"/>
    <row r="87" s="83" customFormat="1" ht="15"/>
    <row r="88" s="83" customFormat="1" ht="15"/>
    <row r="89" s="83" customFormat="1" ht="15"/>
    <row r="90" s="83" customFormat="1" ht="15"/>
    <row r="91" s="83" customFormat="1" ht="15"/>
    <row r="92" s="83" customFormat="1" ht="15"/>
    <row r="93" s="83" customFormat="1" ht="15"/>
    <row r="94" s="83" customFormat="1" ht="15"/>
    <row r="95" s="83" customFormat="1" ht="15"/>
    <row r="96" s="83" customFormat="1" ht="15"/>
    <row r="97" s="83" customFormat="1" ht="15"/>
    <row r="98" s="83" customFormat="1" ht="15"/>
    <row r="99" s="83" customFormat="1" ht="15"/>
    <row r="100" s="83" customFormat="1" ht="15"/>
    <row r="101" s="83" customFormat="1" ht="15"/>
    <row r="102" s="83" customFormat="1" ht="15"/>
    <row r="103" s="83" customFormat="1" ht="15"/>
    <row r="104" s="83" customFormat="1" ht="15"/>
    <row r="105" s="83" customFormat="1" ht="15"/>
    <row r="106" s="83" customFormat="1" ht="15"/>
    <row r="107" s="83" customFormat="1" ht="15"/>
    <row r="108" s="83" customFormat="1" ht="15"/>
    <row r="109" s="83" customFormat="1" ht="15"/>
    <row r="110" s="83" customFormat="1" ht="15"/>
    <row r="111" s="83" customFormat="1" ht="15"/>
    <row r="112" s="83" customFormat="1" ht="15"/>
    <row r="113" s="83" customFormat="1" ht="15"/>
    <row r="114" s="83" customFormat="1" ht="15"/>
    <row r="115" s="83" customFormat="1" ht="15"/>
    <row r="116" s="83" customFormat="1" ht="15"/>
    <row r="117" s="83" customFormat="1" ht="15"/>
    <row r="118" s="83" customFormat="1" ht="15"/>
    <row r="119" s="83" customFormat="1" ht="15"/>
    <row r="120" s="83" customFormat="1" ht="15"/>
    <row r="121" s="83" customFormat="1" ht="15"/>
    <row r="122" s="83" customFormat="1" ht="15"/>
    <row r="123" s="83" customFormat="1" ht="15"/>
    <row r="124" s="83" customFormat="1" ht="15"/>
    <row r="125" s="83" customFormat="1" ht="15"/>
    <row r="126" s="83" customFormat="1" ht="15"/>
    <row r="127" s="83" customFormat="1" ht="15"/>
    <row r="128" s="83" customFormat="1" ht="15"/>
    <row r="129" s="83" customFormat="1" ht="15"/>
    <row r="130" s="83" customFormat="1" ht="15"/>
    <row r="131" s="83" customFormat="1" ht="15"/>
    <row r="132" s="83" customFormat="1" ht="15"/>
    <row r="133" s="83" customFormat="1" ht="15"/>
    <row r="134" s="83" customFormat="1" ht="15"/>
    <row r="135" s="83" customFormat="1" ht="15"/>
    <row r="136" s="83" customFormat="1" ht="15"/>
    <row r="137" s="83" customFormat="1" ht="15"/>
    <row r="138" s="83" customFormat="1" ht="15"/>
    <row r="139" s="83" customFormat="1" ht="15"/>
    <row r="140" s="83" customFormat="1" ht="15"/>
    <row r="141" s="83" customFormat="1" ht="15"/>
    <row r="142" s="83" customFormat="1" ht="15"/>
    <row r="143" s="83" customFormat="1" ht="15"/>
    <row r="144" s="83" customFormat="1" ht="15"/>
    <row r="145" s="83" customFormat="1" ht="15"/>
    <row r="146" s="83" customFormat="1" ht="15"/>
    <row r="147" s="83" customFormat="1" ht="15"/>
    <row r="148" s="83" customFormat="1" ht="15"/>
    <row r="149" s="83" customFormat="1" ht="15"/>
    <row r="150" s="83" customFormat="1" ht="15"/>
    <row r="151" s="83" customFormat="1" ht="15"/>
    <row r="152" s="83" customFormat="1" ht="15"/>
    <row r="153" s="83" customFormat="1" ht="15"/>
    <row r="154" s="83" customFormat="1" ht="15"/>
    <row r="155" s="83" customFormat="1" ht="15"/>
    <row r="156" s="83" customFormat="1" ht="15"/>
    <row r="157" s="83" customFormat="1" ht="15"/>
    <row r="158" s="83" customFormat="1" ht="15"/>
    <row r="159" s="83" customFormat="1" ht="15"/>
    <row r="160" s="83" customFormat="1" ht="15"/>
    <row r="161" s="83" customFormat="1" ht="15"/>
    <row r="162" s="83" customFormat="1" ht="15"/>
    <row r="163" s="83" customFormat="1" ht="15"/>
    <row r="164" s="83" customFormat="1" ht="15"/>
    <row r="165" s="83" customFormat="1" ht="15"/>
    <row r="166" s="83" customFormat="1" ht="15"/>
    <row r="167" s="83" customFormat="1" ht="15"/>
    <row r="168" s="83" customFormat="1" ht="15"/>
    <row r="169" s="83" customFormat="1" ht="15"/>
    <row r="170" s="83" customFormat="1" ht="15"/>
    <row r="171" s="83" customFormat="1" ht="15"/>
    <row r="172" s="83" customFormat="1" ht="15"/>
    <row r="173" s="83" customFormat="1" ht="15"/>
    <row r="174" s="83" customFormat="1" ht="15"/>
    <row r="175" s="83" customFormat="1" ht="15"/>
    <row r="176" s="83" customFormat="1" ht="15"/>
    <row r="177" s="83" customFormat="1" ht="15"/>
    <row r="178" s="83" customFormat="1" ht="15"/>
    <row r="179" s="83" customFormat="1" ht="15"/>
    <row r="180" s="83" customFormat="1" ht="15"/>
    <row r="181" s="83" customFormat="1" ht="15"/>
    <row r="182" s="83" customFormat="1" ht="15"/>
    <row r="183" s="83" customFormat="1" ht="15"/>
    <row r="184" s="83" customFormat="1" ht="15"/>
    <row r="185" s="83" customFormat="1" ht="15"/>
    <row r="186" s="83" customFormat="1" ht="15"/>
    <row r="187" s="83" customFormat="1" ht="15"/>
    <row r="188" s="83" customFormat="1" ht="15"/>
    <row r="189" s="83" customFormat="1" ht="15"/>
    <row r="190" s="83" customFormat="1" ht="15"/>
    <row r="191" s="83" customFormat="1" ht="15"/>
    <row r="192" s="83" customFormat="1" ht="15"/>
    <row r="193" s="83" customFormat="1" ht="15"/>
    <row r="194" s="83" customFormat="1" ht="15"/>
    <row r="195" s="83" customFormat="1" ht="15"/>
    <row r="196" s="83" customFormat="1" ht="15"/>
    <row r="197" s="83" customFormat="1" ht="15"/>
    <row r="198" s="83" customFormat="1" ht="15"/>
    <row r="199" s="83" customFormat="1" ht="15"/>
    <row r="200" s="83" customFormat="1" ht="15"/>
    <row r="201" s="83" customFormat="1" ht="15"/>
    <row r="202" s="83" customFormat="1" ht="15"/>
    <row r="203" s="83" customFormat="1" ht="15"/>
  </sheetData>
  <mergeCells count="12">
    <mergeCell ref="C21:D21"/>
    <mergeCell ref="E21:F21"/>
    <mergeCell ref="G21:H21"/>
    <mergeCell ref="J21:K21"/>
    <mergeCell ref="L21:M21"/>
    <mergeCell ref="N21:O21"/>
    <mergeCell ref="A1:A2"/>
    <mergeCell ref="B1:H2"/>
    <mergeCell ref="I1:O2"/>
    <mergeCell ref="P1:P4"/>
    <mergeCell ref="B3:H3"/>
    <mergeCell ref="I3:O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259AD-1A81-2E48-A48D-B318BDD70450}">
  <dimension ref="A1:V55"/>
  <sheetViews>
    <sheetView workbookViewId="0">
      <selection sqref="A1:XFD1048576"/>
    </sheetView>
  </sheetViews>
  <sheetFormatPr baseColWidth="10" defaultRowHeight="16"/>
  <cols>
    <col min="1" max="1" width="59.33203125" customWidth="1"/>
    <col min="2" max="3" width="8.5" bestFit="1" customWidth="1"/>
    <col min="4" max="4" width="9.83203125" bestFit="1" customWidth="1"/>
    <col min="5" max="5" width="8.5" bestFit="1" customWidth="1"/>
    <col min="6" max="6" width="9.83203125" bestFit="1" customWidth="1"/>
    <col min="7" max="7" width="8.5" bestFit="1" customWidth="1"/>
    <col min="8" max="8" width="9.83203125" bestFit="1" customWidth="1"/>
    <col min="9" max="10" width="8.5" bestFit="1" customWidth="1"/>
    <col min="11" max="11" width="8" bestFit="1" customWidth="1"/>
    <col min="12" max="12" width="8.5" bestFit="1" customWidth="1"/>
    <col min="13" max="13" width="11" customWidth="1"/>
    <col min="14" max="14" width="8.5" bestFit="1" customWidth="1"/>
    <col min="15" max="15" width="9.83203125" bestFit="1" customWidth="1"/>
    <col min="16" max="16" width="9.83203125" customWidth="1"/>
    <col min="17" max="17" width="8.5" bestFit="1" customWidth="1"/>
    <col min="18" max="18" width="8" bestFit="1" customWidth="1"/>
    <col min="19" max="19" width="8.5" bestFit="1" customWidth="1"/>
    <col min="20" max="20" width="9.83203125" bestFit="1" customWidth="1"/>
    <col min="21" max="21" width="8.5" bestFit="1" customWidth="1"/>
    <col min="22" max="22" width="9.83203125" bestFit="1" customWidth="1"/>
  </cols>
  <sheetData>
    <row r="1" spans="1:22">
      <c r="A1" s="90" t="s">
        <v>8</v>
      </c>
      <c r="B1" s="100" t="s">
        <v>123</v>
      </c>
      <c r="C1" s="147"/>
      <c r="D1" s="147"/>
      <c r="E1" s="147"/>
      <c r="F1" s="147"/>
      <c r="G1" s="147"/>
      <c r="H1" s="148"/>
      <c r="I1" s="100" t="s">
        <v>124</v>
      </c>
      <c r="J1" s="147"/>
      <c r="K1" s="147"/>
      <c r="L1" s="147"/>
      <c r="M1" s="147"/>
      <c r="N1" s="147"/>
      <c r="O1" s="148"/>
      <c r="P1" s="100" t="s">
        <v>125</v>
      </c>
      <c r="Q1" s="147"/>
      <c r="R1" s="147"/>
      <c r="S1" s="147"/>
      <c r="T1" s="147"/>
      <c r="U1" s="147"/>
      <c r="V1" s="148"/>
    </row>
    <row r="2" spans="1:22">
      <c r="A2" s="93"/>
      <c r="B2" s="104"/>
      <c r="C2" s="96"/>
      <c r="D2" s="96"/>
      <c r="E2" s="96"/>
      <c r="F2" s="96"/>
      <c r="G2" s="96"/>
      <c r="H2" s="151"/>
      <c r="I2" s="104"/>
      <c r="J2" s="96"/>
      <c r="K2" s="96"/>
      <c r="L2" s="96"/>
      <c r="M2" s="96"/>
      <c r="N2" s="96"/>
      <c r="O2" s="151"/>
      <c r="P2" s="104"/>
      <c r="Q2" s="96"/>
      <c r="R2" s="96"/>
      <c r="S2" s="96"/>
      <c r="T2" s="96"/>
      <c r="U2" s="96"/>
      <c r="V2" s="151"/>
    </row>
    <row r="3" spans="1:22" ht="17" thickBot="1">
      <c r="A3" s="77"/>
      <c r="B3" s="274" t="s">
        <v>144</v>
      </c>
      <c r="C3" s="96"/>
      <c r="D3" s="96"/>
      <c r="E3" s="96"/>
      <c r="F3" s="96"/>
      <c r="G3" s="96"/>
      <c r="H3" s="151"/>
      <c r="I3" s="274" t="s">
        <v>145</v>
      </c>
      <c r="J3" s="96"/>
      <c r="K3" s="96"/>
      <c r="L3" s="96"/>
      <c r="M3" s="96"/>
      <c r="N3" s="96"/>
      <c r="O3" s="151"/>
      <c r="P3" s="235" t="s">
        <v>146</v>
      </c>
      <c r="Q3" s="275"/>
      <c r="R3" s="275"/>
      <c r="S3" s="275"/>
      <c r="T3" s="275"/>
      <c r="U3" s="275"/>
      <c r="V3" s="276"/>
    </row>
    <row r="4" spans="1:22" ht="17" thickTop="1">
      <c r="A4" s="160" t="s">
        <v>128</v>
      </c>
      <c r="B4" s="108" t="s">
        <v>0</v>
      </c>
      <c r="C4" s="160" t="s">
        <v>506</v>
      </c>
      <c r="D4" s="159" t="s">
        <v>949</v>
      </c>
      <c r="E4" s="160" t="s">
        <v>508</v>
      </c>
      <c r="F4" s="159" t="s">
        <v>950</v>
      </c>
      <c r="G4" s="160" t="s">
        <v>509</v>
      </c>
      <c r="H4" s="161" t="s">
        <v>951</v>
      </c>
      <c r="I4" s="108" t="s">
        <v>0</v>
      </c>
      <c r="J4" s="160" t="s">
        <v>506</v>
      </c>
      <c r="K4" s="159" t="s">
        <v>129</v>
      </c>
      <c r="L4" s="160" t="s">
        <v>508</v>
      </c>
      <c r="M4" s="159" t="s">
        <v>950</v>
      </c>
      <c r="N4" s="160" t="s">
        <v>509</v>
      </c>
      <c r="O4" s="161" t="s">
        <v>951</v>
      </c>
      <c r="P4" s="185" t="s">
        <v>0</v>
      </c>
      <c r="Q4" s="160" t="s">
        <v>506</v>
      </c>
      <c r="R4" s="159" t="s">
        <v>129</v>
      </c>
      <c r="S4" s="160" t="s">
        <v>508</v>
      </c>
      <c r="T4" s="159" t="s">
        <v>950</v>
      </c>
      <c r="U4" s="160" t="s">
        <v>509</v>
      </c>
      <c r="V4" s="161" t="s">
        <v>951</v>
      </c>
    </row>
    <row r="5" spans="1:22">
      <c r="A5" s="197" t="s">
        <v>130</v>
      </c>
      <c r="B5" s="118" t="s">
        <v>542</v>
      </c>
      <c r="C5" s="244">
        <v>9188</v>
      </c>
      <c r="D5" s="277" t="s">
        <v>543</v>
      </c>
      <c r="E5" s="242">
        <v>9216</v>
      </c>
      <c r="F5" s="172" t="s">
        <v>823</v>
      </c>
      <c r="G5" s="244">
        <v>9207</v>
      </c>
      <c r="H5" s="123" t="s">
        <v>1172</v>
      </c>
      <c r="I5" s="125">
        <v>7557</v>
      </c>
      <c r="J5" s="126">
        <v>7609</v>
      </c>
      <c r="K5" s="172" t="s">
        <v>398</v>
      </c>
      <c r="L5" s="246">
        <v>7687</v>
      </c>
      <c r="M5" s="278" t="s">
        <v>280</v>
      </c>
      <c r="N5" s="126">
        <v>7585</v>
      </c>
      <c r="O5" s="135">
        <v>0.18</v>
      </c>
      <c r="P5" s="167" t="s">
        <v>544</v>
      </c>
      <c r="Q5" s="126">
        <v>7592</v>
      </c>
      <c r="R5" s="76" t="s">
        <v>259</v>
      </c>
      <c r="S5" s="279" t="s">
        <v>1173</v>
      </c>
      <c r="T5" s="280" t="s">
        <v>298</v>
      </c>
      <c r="U5" s="244">
        <v>7458</v>
      </c>
      <c r="V5" s="281" t="s">
        <v>235</v>
      </c>
    </row>
    <row r="6" spans="1:22">
      <c r="A6" s="197" t="s">
        <v>497</v>
      </c>
      <c r="B6" s="124">
        <v>-4015</v>
      </c>
      <c r="C6" s="126">
        <v>-4013</v>
      </c>
      <c r="D6" s="172">
        <v>0.2</v>
      </c>
      <c r="E6" s="246">
        <v>-4029</v>
      </c>
      <c r="F6" s="172" t="s">
        <v>283</v>
      </c>
      <c r="G6" s="75">
        <v>-4031</v>
      </c>
      <c r="H6" s="135" t="s">
        <v>253</v>
      </c>
      <c r="I6" s="125">
        <v>-4457</v>
      </c>
      <c r="J6" s="126">
        <v>-4485</v>
      </c>
      <c r="K6" s="172" t="s">
        <v>547</v>
      </c>
      <c r="L6" s="246">
        <v>-4464</v>
      </c>
      <c r="M6" s="278" t="s">
        <v>1174</v>
      </c>
      <c r="N6" s="126">
        <v>-4515</v>
      </c>
      <c r="O6" s="135" t="s">
        <v>254</v>
      </c>
      <c r="P6" s="164">
        <v>-4568</v>
      </c>
      <c r="Q6" s="126">
        <v>-4608</v>
      </c>
      <c r="R6" s="76" t="s">
        <v>548</v>
      </c>
      <c r="S6" s="245" t="s">
        <v>1175</v>
      </c>
      <c r="T6" s="278" t="s">
        <v>435</v>
      </c>
      <c r="U6" s="126">
        <v>-4656</v>
      </c>
      <c r="V6" s="128" t="s">
        <v>666</v>
      </c>
    </row>
    <row r="7" spans="1:22">
      <c r="A7" s="197" t="s">
        <v>551</v>
      </c>
      <c r="B7" s="124" t="s">
        <v>73</v>
      </c>
      <c r="C7" s="75" t="s">
        <v>552</v>
      </c>
      <c r="D7" s="172" t="s">
        <v>553</v>
      </c>
      <c r="E7" s="245" t="s">
        <v>901</v>
      </c>
      <c r="F7" s="172">
        <v>0.21</v>
      </c>
      <c r="G7" s="75" t="s">
        <v>679</v>
      </c>
      <c r="H7" s="135" t="s">
        <v>1049</v>
      </c>
      <c r="I7" s="124" t="s">
        <v>108</v>
      </c>
      <c r="J7" s="75" t="s">
        <v>554</v>
      </c>
      <c r="K7" s="172">
        <v>0</v>
      </c>
      <c r="L7" s="245" t="s">
        <v>710</v>
      </c>
      <c r="M7" s="278">
        <v>0</v>
      </c>
      <c r="N7" s="75" t="s">
        <v>25</v>
      </c>
      <c r="O7" s="135" t="s">
        <v>474</v>
      </c>
      <c r="P7" s="167" t="s">
        <v>555</v>
      </c>
      <c r="Q7" s="75" t="s">
        <v>556</v>
      </c>
      <c r="R7" s="76" t="s">
        <v>236</v>
      </c>
      <c r="S7" s="245" t="s">
        <v>24</v>
      </c>
      <c r="T7" s="278" t="s">
        <v>265</v>
      </c>
      <c r="U7" s="75" t="s">
        <v>1176</v>
      </c>
      <c r="V7" s="128" t="s">
        <v>591</v>
      </c>
    </row>
    <row r="8" spans="1:22">
      <c r="A8" s="197" t="s">
        <v>132</v>
      </c>
      <c r="B8" s="124" t="s">
        <v>94</v>
      </c>
      <c r="C8" s="75" t="s">
        <v>560</v>
      </c>
      <c r="D8" s="172" t="s">
        <v>278</v>
      </c>
      <c r="E8" s="245" t="s">
        <v>1120</v>
      </c>
      <c r="F8" s="172" t="s">
        <v>301</v>
      </c>
      <c r="G8" s="75" t="s">
        <v>1177</v>
      </c>
      <c r="H8" s="135" t="s">
        <v>896</v>
      </c>
      <c r="I8" s="124" t="s">
        <v>561</v>
      </c>
      <c r="J8" s="75" t="s">
        <v>562</v>
      </c>
      <c r="K8" s="172" t="s">
        <v>230</v>
      </c>
      <c r="L8" s="245" t="s">
        <v>727</v>
      </c>
      <c r="M8" s="278" t="s">
        <v>1178</v>
      </c>
      <c r="N8" s="75" t="s">
        <v>44</v>
      </c>
      <c r="O8" s="135" t="s">
        <v>236</v>
      </c>
      <c r="P8" s="167" t="s">
        <v>563</v>
      </c>
      <c r="Q8" s="75" t="s">
        <v>564</v>
      </c>
      <c r="R8" s="76" t="s">
        <v>565</v>
      </c>
      <c r="S8" s="245" t="s">
        <v>1179</v>
      </c>
      <c r="T8" s="278" t="s">
        <v>261</v>
      </c>
      <c r="U8" s="75" t="s">
        <v>1180</v>
      </c>
      <c r="V8" s="128" t="s">
        <v>375</v>
      </c>
    </row>
    <row r="9" spans="1:22">
      <c r="A9" s="282" t="s">
        <v>133</v>
      </c>
      <c r="B9" s="124" t="s">
        <v>569</v>
      </c>
      <c r="C9" s="75" t="s">
        <v>50</v>
      </c>
      <c r="D9" s="172">
        <v>0</v>
      </c>
      <c r="E9" s="245" t="s">
        <v>801</v>
      </c>
      <c r="F9" s="172" t="s">
        <v>244</v>
      </c>
      <c r="G9" s="75" t="s">
        <v>1181</v>
      </c>
      <c r="H9" s="135">
        <v>0</v>
      </c>
      <c r="I9" s="124" t="s">
        <v>570</v>
      </c>
      <c r="J9" s="75" t="s">
        <v>571</v>
      </c>
      <c r="K9" s="172" t="s">
        <v>244</v>
      </c>
      <c r="L9" s="245" t="s">
        <v>1099</v>
      </c>
      <c r="M9" s="278" t="s">
        <v>624</v>
      </c>
      <c r="N9" s="75" t="s">
        <v>630</v>
      </c>
      <c r="O9" s="135">
        <v>0</v>
      </c>
      <c r="P9" s="167" t="s">
        <v>572</v>
      </c>
      <c r="Q9" s="75" t="s">
        <v>573</v>
      </c>
      <c r="R9" s="76" t="s">
        <v>418</v>
      </c>
      <c r="S9" s="245" t="s">
        <v>1176</v>
      </c>
      <c r="T9" s="278" t="s">
        <v>284</v>
      </c>
      <c r="U9" s="75" t="s">
        <v>1182</v>
      </c>
      <c r="V9" s="128">
        <v>0</v>
      </c>
    </row>
    <row r="10" spans="1:22">
      <c r="A10" s="197" t="s">
        <v>134</v>
      </c>
      <c r="B10" s="124" t="s">
        <v>577</v>
      </c>
      <c r="C10" s="75" t="s">
        <v>577</v>
      </c>
      <c r="D10" s="172" t="s">
        <v>578</v>
      </c>
      <c r="E10" s="245" t="s">
        <v>39</v>
      </c>
      <c r="F10" s="172" t="s">
        <v>240</v>
      </c>
      <c r="G10" s="75" t="s">
        <v>651</v>
      </c>
      <c r="H10" s="135" t="s">
        <v>678</v>
      </c>
      <c r="I10" s="124" t="s">
        <v>579</v>
      </c>
      <c r="J10" s="75" t="s">
        <v>78</v>
      </c>
      <c r="K10" s="172" t="s">
        <v>545</v>
      </c>
      <c r="L10" s="245" t="s">
        <v>78</v>
      </c>
      <c r="M10" s="278" t="s">
        <v>594</v>
      </c>
      <c r="N10" s="75" t="s">
        <v>82</v>
      </c>
      <c r="O10" s="135" t="s">
        <v>385</v>
      </c>
      <c r="P10" s="167" t="s">
        <v>580</v>
      </c>
      <c r="Q10" s="75" t="s">
        <v>581</v>
      </c>
      <c r="R10" s="76" t="s">
        <v>439</v>
      </c>
      <c r="S10" s="245" t="s">
        <v>17</v>
      </c>
      <c r="T10" s="278" t="s">
        <v>474</v>
      </c>
      <c r="U10" s="75" t="s">
        <v>27</v>
      </c>
      <c r="V10" s="128" t="s">
        <v>244</v>
      </c>
    </row>
    <row r="11" spans="1:22">
      <c r="A11" s="197" t="s">
        <v>135</v>
      </c>
      <c r="B11" s="124" t="s">
        <v>570</v>
      </c>
      <c r="C11" s="75" t="s">
        <v>583</v>
      </c>
      <c r="D11" s="172" t="s">
        <v>584</v>
      </c>
      <c r="E11" s="245" t="s">
        <v>583</v>
      </c>
      <c r="F11" s="172" t="s">
        <v>273</v>
      </c>
      <c r="G11" s="75" t="s">
        <v>797</v>
      </c>
      <c r="H11" s="135">
        <v>0</v>
      </c>
      <c r="I11" s="124" t="s">
        <v>585</v>
      </c>
      <c r="J11" s="75" t="s">
        <v>586</v>
      </c>
      <c r="K11" s="172" t="s">
        <v>244</v>
      </c>
      <c r="L11" s="245" t="s">
        <v>114</v>
      </c>
      <c r="M11" s="278">
        <v>0</v>
      </c>
      <c r="N11" s="75" t="s">
        <v>650</v>
      </c>
      <c r="O11" s="135">
        <v>0</v>
      </c>
      <c r="P11" s="167" t="s">
        <v>587</v>
      </c>
      <c r="Q11" s="75" t="s">
        <v>588</v>
      </c>
      <c r="R11" s="76" t="s">
        <v>1183</v>
      </c>
      <c r="S11" s="245" t="s">
        <v>962</v>
      </c>
      <c r="T11" s="278" t="s">
        <v>244</v>
      </c>
      <c r="U11" s="75" t="s">
        <v>588</v>
      </c>
      <c r="V11" s="128" t="s">
        <v>1030</v>
      </c>
    </row>
    <row r="12" spans="1:22">
      <c r="A12" s="197" t="s">
        <v>136</v>
      </c>
      <c r="B12" s="125">
        <v>1441</v>
      </c>
      <c r="C12" s="126">
        <v>1583</v>
      </c>
      <c r="D12" s="172" t="s">
        <v>244</v>
      </c>
      <c r="E12" s="246">
        <v>1624</v>
      </c>
      <c r="F12" s="172" t="s">
        <v>244</v>
      </c>
      <c r="G12" s="126">
        <v>1826</v>
      </c>
      <c r="H12" s="135">
        <v>0</v>
      </c>
      <c r="I12" s="125">
        <v>1441</v>
      </c>
      <c r="J12" s="126">
        <v>1654</v>
      </c>
      <c r="K12" s="172" t="s">
        <v>244</v>
      </c>
      <c r="L12" s="246">
        <v>1837</v>
      </c>
      <c r="M12" s="278">
        <v>0</v>
      </c>
      <c r="N12" s="126">
        <v>1776</v>
      </c>
      <c r="O12" s="135" t="s">
        <v>545</v>
      </c>
      <c r="P12" s="164">
        <v>1441</v>
      </c>
      <c r="Q12" s="75" t="s">
        <v>593</v>
      </c>
      <c r="R12" s="76" t="s">
        <v>297</v>
      </c>
      <c r="S12" s="246">
        <v>1393</v>
      </c>
      <c r="T12" s="278" t="s">
        <v>1184</v>
      </c>
      <c r="U12" s="126">
        <v>1445</v>
      </c>
      <c r="V12" s="128" t="s">
        <v>414</v>
      </c>
    </row>
    <row r="13" spans="1:22">
      <c r="A13" s="197" t="s">
        <v>498</v>
      </c>
      <c r="B13" s="125">
        <v>12297</v>
      </c>
      <c r="C13" s="126">
        <v>12302</v>
      </c>
      <c r="D13" s="172" t="s">
        <v>595</v>
      </c>
      <c r="E13" s="246">
        <v>12308</v>
      </c>
      <c r="F13" s="172" t="s">
        <v>477</v>
      </c>
      <c r="G13" s="126">
        <v>12305</v>
      </c>
      <c r="H13" s="135" t="s">
        <v>471</v>
      </c>
      <c r="I13" s="125">
        <v>11133</v>
      </c>
      <c r="J13" s="75" t="s">
        <v>596</v>
      </c>
      <c r="K13" s="172" t="s">
        <v>597</v>
      </c>
      <c r="L13" s="246">
        <v>11439</v>
      </c>
      <c r="M13" s="278" t="s">
        <v>802</v>
      </c>
      <c r="N13" s="126">
        <v>11177</v>
      </c>
      <c r="O13" s="135">
        <v>0.28000000000000003</v>
      </c>
      <c r="P13" s="167" t="s">
        <v>598</v>
      </c>
      <c r="Q13" s="126">
        <v>11121</v>
      </c>
      <c r="R13" s="76" t="s">
        <v>411</v>
      </c>
      <c r="S13" s="246">
        <v>11237</v>
      </c>
      <c r="T13" s="278" t="s">
        <v>361</v>
      </c>
      <c r="U13" s="126">
        <v>11061</v>
      </c>
      <c r="V13" s="128" t="s">
        <v>476</v>
      </c>
    </row>
    <row r="14" spans="1:22">
      <c r="A14" s="197" t="s">
        <v>137</v>
      </c>
      <c r="B14" s="124" t="s">
        <v>599</v>
      </c>
      <c r="C14" s="75" t="s">
        <v>600</v>
      </c>
      <c r="D14" s="172" t="s">
        <v>236</v>
      </c>
      <c r="E14" s="245" t="s">
        <v>1185</v>
      </c>
      <c r="F14" s="172" t="s">
        <v>468</v>
      </c>
      <c r="G14" s="75" t="s">
        <v>1186</v>
      </c>
      <c r="H14" s="135" t="s">
        <v>545</v>
      </c>
      <c r="I14" s="124" t="s">
        <v>601</v>
      </c>
      <c r="J14" s="75" t="s">
        <v>602</v>
      </c>
      <c r="K14" s="172" t="s">
        <v>236</v>
      </c>
      <c r="L14" s="245" t="s">
        <v>1187</v>
      </c>
      <c r="M14" s="278" t="s">
        <v>615</v>
      </c>
      <c r="N14" s="75" t="s">
        <v>939</v>
      </c>
      <c r="O14" s="135">
        <v>0.02</v>
      </c>
      <c r="P14" s="167" t="s">
        <v>603</v>
      </c>
      <c r="Q14" s="75" t="s">
        <v>604</v>
      </c>
      <c r="R14" s="76" t="s">
        <v>473</v>
      </c>
      <c r="S14" s="245" t="s">
        <v>1188</v>
      </c>
      <c r="T14" s="278" t="s">
        <v>692</v>
      </c>
      <c r="U14" s="75" t="s">
        <v>750</v>
      </c>
      <c r="V14" s="128" t="s">
        <v>385</v>
      </c>
    </row>
    <row r="15" spans="1:22">
      <c r="A15" s="197" t="s">
        <v>138</v>
      </c>
      <c r="B15" s="124" t="s">
        <v>582</v>
      </c>
      <c r="C15" s="75" t="s">
        <v>81</v>
      </c>
      <c r="D15" s="172" t="s">
        <v>545</v>
      </c>
      <c r="E15" s="245" t="s">
        <v>84</v>
      </c>
      <c r="F15" s="172" t="s">
        <v>473</v>
      </c>
      <c r="G15" s="75" t="s">
        <v>84</v>
      </c>
      <c r="H15" s="135" t="s">
        <v>375</v>
      </c>
      <c r="I15" s="124" t="s">
        <v>607</v>
      </c>
      <c r="J15" s="75" t="s">
        <v>608</v>
      </c>
      <c r="K15" s="172" t="s">
        <v>236</v>
      </c>
      <c r="L15" s="245" t="s">
        <v>89</v>
      </c>
      <c r="M15" s="278">
        <v>0</v>
      </c>
      <c r="N15" s="75" t="s">
        <v>82</v>
      </c>
      <c r="O15" s="135" t="s">
        <v>280</v>
      </c>
      <c r="P15" s="167" t="s">
        <v>106</v>
      </c>
      <c r="Q15" s="75" t="s">
        <v>82</v>
      </c>
      <c r="R15" s="76" t="s">
        <v>473</v>
      </c>
      <c r="S15" s="245" t="s">
        <v>737</v>
      </c>
      <c r="T15" s="278" t="s">
        <v>399</v>
      </c>
      <c r="U15" s="75" t="s">
        <v>617</v>
      </c>
      <c r="V15" s="135">
        <v>0.03</v>
      </c>
    </row>
    <row r="16" spans="1:22">
      <c r="A16" s="197" t="s">
        <v>139</v>
      </c>
      <c r="B16" s="125">
        <v>3493</v>
      </c>
      <c r="C16" s="126">
        <v>3674</v>
      </c>
      <c r="D16" s="172">
        <v>0</v>
      </c>
      <c r="E16" s="246">
        <v>3672</v>
      </c>
      <c r="F16" s="172">
        <v>0</v>
      </c>
      <c r="G16" s="126">
        <v>3754</v>
      </c>
      <c r="H16" s="135">
        <v>0</v>
      </c>
      <c r="I16" s="125">
        <v>3713</v>
      </c>
      <c r="J16" s="126">
        <v>3623</v>
      </c>
      <c r="K16" s="172">
        <v>0</v>
      </c>
      <c r="L16" s="245" t="s">
        <v>1189</v>
      </c>
      <c r="M16" s="278" t="s">
        <v>458</v>
      </c>
      <c r="N16" s="126">
        <v>3709</v>
      </c>
      <c r="O16" s="135" t="s">
        <v>1190</v>
      </c>
      <c r="P16" s="164">
        <v>3659</v>
      </c>
      <c r="Q16" s="126">
        <v>3602</v>
      </c>
      <c r="R16" s="76" t="s">
        <v>610</v>
      </c>
      <c r="S16" s="246">
        <v>3569</v>
      </c>
      <c r="T16" s="278" t="s">
        <v>401</v>
      </c>
      <c r="U16" s="126">
        <v>3635</v>
      </c>
      <c r="V16" s="128" t="s">
        <v>301</v>
      </c>
    </row>
    <row r="17" spans="1:22">
      <c r="A17" s="197" t="s">
        <v>140</v>
      </c>
      <c r="B17" s="124" t="s">
        <v>582</v>
      </c>
      <c r="C17" s="75" t="s">
        <v>96</v>
      </c>
      <c r="D17" s="172">
        <v>0</v>
      </c>
      <c r="E17" s="245" t="s">
        <v>970</v>
      </c>
      <c r="F17" s="278" t="s">
        <v>970</v>
      </c>
      <c r="G17" s="245" t="s">
        <v>970</v>
      </c>
      <c r="H17" s="283" t="s">
        <v>970</v>
      </c>
      <c r="I17" s="124" t="s">
        <v>36</v>
      </c>
      <c r="J17" s="75" t="s">
        <v>36</v>
      </c>
      <c r="K17" s="172" t="s">
        <v>254</v>
      </c>
      <c r="L17" s="245" t="s">
        <v>970</v>
      </c>
      <c r="M17" s="278" t="s">
        <v>970</v>
      </c>
      <c r="N17" s="245" t="s">
        <v>970</v>
      </c>
      <c r="O17" s="248" t="s">
        <v>970</v>
      </c>
      <c r="P17" s="167" t="s">
        <v>19</v>
      </c>
      <c r="Q17" s="75" t="s">
        <v>37</v>
      </c>
      <c r="R17" s="76" t="s">
        <v>369</v>
      </c>
      <c r="S17" s="245" t="s">
        <v>970</v>
      </c>
      <c r="T17" s="278" t="s">
        <v>970</v>
      </c>
      <c r="U17" s="245" t="s">
        <v>970</v>
      </c>
      <c r="V17" s="248" t="s">
        <v>970</v>
      </c>
    </row>
    <row r="18" spans="1:22">
      <c r="A18" s="197" t="s">
        <v>141</v>
      </c>
      <c r="B18" s="124" t="s">
        <v>614</v>
      </c>
      <c r="C18" s="75" t="s">
        <v>608</v>
      </c>
      <c r="D18" s="172" t="s">
        <v>256</v>
      </c>
      <c r="E18" s="245" t="s">
        <v>970</v>
      </c>
      <c r="F18" s="278" t="s">
        <v>970</v>
      </c>
      <c r="G18" s="245" t="s">
        <v>970</v>
      </c>
      <c r="H18" s="283" t="s">
        <v>970</v>
      </c>
      <c r="I18" s="124" t="s">
        <v>581</v>
      </c>
      <c r="J18" s="75" t="s">
        <v>581</v>
      </c>
      <c r="K18" s="172" t="s">
        <v>615</v>
      </c>
      <c r="L18" s="245" t="s">
        <v>970</v>
      </c>
      <c r="M18" s="278" t="s">
        <v>970</v>
      </c>
      <c r="N18" s="245" t="s">
        <v>970</v>
      </c>
      <c r="O18" s="248" t="s">
        <v>970</v>
      </c>
      <c r="P18" s="167" t="s">
        <v>616</v>
      </c>
      <c r="Q18" s="75" t="s">
        <v>617</v>
      </c>
      <c r="R18" s="76" t="s">
        <v>584</v>
      </c>
      <c r="S18" s="245" t="s">
        <v>970</v>
      </c>
      <c r="T18" s="278" t="s">
        <v>970</v>
      </c>
      <c r="U18" s="245" t="s">
        <v>970</v>
      </c>
      <c r="V18" s="248" t="s">
        <v>970</v>
      </c>
    </row>
    <row r="19" spans="1:22">
      <c r="A19" s="197" t="s">
        <v>142</v>
      </c>
      <c r="B19" s="124" t="s">
        <v>590</v>
      </c>
      <c r="C19" s="75" t="s">
        <v>36</v>
      </c>
      <c r="D19" s="172">
        <v>0</v>
      </c>
      <c r="E19" s="75" t="s">
        <v>970</v>
      </c>
      <c r="F19" s="172" t="s">
        <v>970</v>
      </c>
      <c r="G19" s="75" t="s">
        <v>970</v>
      </c>
      <c r="H19" s="135" t="s">
        <v>970</v>
      </c>
      <c r="I19" s="124" t="s">
        <v>621</v>
      </c>
      <c r="J19" s="75" t="s">
        <v>622</v>
      </c>
      <c r="K19" s="172" t="s">
        <v>361</v>
      </c>
      <c r="L19" s="75" t="s">
        <v>970</v>
      </c>
      <c r="M19" s="172" t="s">
        <v>970</v>
      </c>
      <c r="N19" s="75" t="s">
        <v>970</v>
      </c>
      <c r="O19" s="249" t="s">
        <v>970</v>
      </c>
      <c r="P19" s="167" t="s">
        <v>24</v>
      </c>
      <c r="Q19" s="75" t="s">
        <v>623</v>
      </c>
      <c r="R19" s="76" t="s">
        <v>297</v>
      </c>
      <c r="S19" s="75" t="s">
        <v>970</v>
      </c>
      <c r="T19" s="172" t="s">
        <v>970</v>
      </c>
      <c r="U19" s="75" t="s">
        <v>970</v>
      </c>
      <c r="V19" s="249" t="s">
        <v>970</v>
      </c>
    </row>
    <row r="20" spans="1:22">
      <c r="A20" s="197" t="s">
        <v>1191</v>
      </c>
      <c r="B20" s="284" t="s">
        <v>1192</v>
      </c>
      <c r="C20" s="245" t="s">
        <v>970</v>
      </c>
      <c r="D20" s="278" t="s">
        <v>970</v>
      </c>
      <c r="E20" s="245" t="s">
        <v>1193</v>
      </c>
      <c r="F20" s="172" t="s">
        <v>244</v>
      </c>
      <c r="G20" s="245" t="s">
        <v>970</v>
      </c>
      <c r="H20" s="283" t="s">
        <v>970</v>
      </c>
      <c r="I20" s="124" t="s">
        <v>1194</v>
      </c>
      <c r="J20" s="245" t="s">
        <v>970</v>
      </c>
      <c r="K20" s="278" t="s">
        <v>970</v>
      </c>
      <c r="L20" s="245" t="s">
        <v>1195</v>
      </c>
      <c r="M20" s="278" t="s">
        <v>611</v>
      </c>
      <c r="N20" s="245" t="s">
        <v>970</v>
      </c>
      <c r="O20" s="248" t="s">
        <v>970</v>
      </c>
      <c r="P20" s="167" t="s">
        <v>1196</v>
      </c>
      <c r="Q20" s="245" t="s">
        <v>970</v>
      </c>
      <c r="R20" s="234" t="s">
        <v>970</v>
      </c>
      <c r="S20" s="245" t="s">
        <v>1197</v>
      </c>
      <c r="T20" s="278" t="s">
        <v>261</v>
      </c>
      <c r="U20" s="245" t="s">
        <v>970</v>
      </c>
      <c r="V20" s="248" t="s">
        <v>970</v>
      </c>
    </row>
    <row r="21" spans="1:22" ht="17" thickBot="1">
      <c r="A21" s="285" t="s">
        <v>1198</v>
      </c>
      <c r="B21" s="286" t="s">
        <v>1199</v>
      </c>
      <c r="C21" s="250" t="s">
        <v>970</v>
      </c>
      <c r="D21" s="287" t="s">
        <v>970</v>
      </c>
      <c r="E21" s="250" t="s">
        <v>1199</v>
      </c>
      <c r="F21" s="208" t="s">
        <v>421</v>
      </c>
      <c r="G21" s="250" t="s">
        <v>970</v>
      </c>
      <c r="H21" s="267" t="s">
        <v>970</v>
      </c>
      <c r="I21" s="174" t="s">
        <v>640</v>
      </c>
      <c r="J21" s="250" t="s">
        <v>970</v>
      </c>
      <c r="K21" s="287" t="s">
        <v>970</v>
      </c>
      <c r="L21" s="250" t="s">
        <v>105</v>
      </c>
      <c r="M21" s="287">
        <v>7.0000000000000007E-2</v>
      </c>
      <c r="N21" s="250" t="s">
        <v>970</v>
      </c>
      <c r="O21" s="288" t="s">
        <v>970</v>
      </c>
      <c r="P21" s="202" t="s">
        <v>79</v>
      </c>
      <c r="Q21" s="250" t="s">
        <v>970</v>
      </c>
      <c r="R21" s="289" t="s">
        <v>970</v>
      </c>
      <c r="S21" s="250" t="s">
        <v>38</v>
      </c>
      <c r="T21" s="287" t="s">
        <v>676</v>
      </c>
      <c r="U21" s="250" t="s">
        <v>970</v>
      </c>
      <c r="V21" s="288" t="s">
        <v>970</v>
      </c>
    </row>
    <row r="22" spans="1:22" ht="18" thickTop="1" thickBot="1">
      <c r="A22" s="203" t="s">
        <v>973</v>
      </c>
      <c r="B22" s="211"/>
      <c r="C22" s="181" t="s">
        <v>1200</v>
      </c>
      <c r="D22" s="182"/>
      <c r="E22" s="181" t="s">
        <v>1201</v>
      </c>
      <c r="F22" s="182"/>
      <c r="G22" s="181" t="s">
        <v>1202</v>
      </c>
      <c r="H22" s="183"/>
      <c r="I22" s="290"/>
      <c r="J22" s="181" t="s">
        <v>1203</v>
      </c>
      <c r="K22" s="182"/>
      <c r="L22" s="181" t="s">
        <v>1204</v>
      </c>
      <c r="M22" s="182"/>
      <c r="N22" s="181" t="s">
        <v>1205</v>
      </c>
      <c r="O22" s="183"/>
      <c r="P22" s="290"/>
      <c r="Q22" s="181" t="s">
        <v>1206</v>
      </c>
      <c r="R22" s="182"/>
      <c r="S22" s="181" t="s">
        <v>1207</v>
      </c>
      <c r="T22" s="182"/>
      <c r="U22" s="181" t="s">
        <v>1208</v>
      </c>
      <c r="V22" s="183"/>
    </row>
    <row r="23" spans="1:22" ht="17" thickBot="1">
      <c r="A23" s="291"/>
      <c r="B23" s="245"/>
      <c r="C23" s="169"/>
      <c r="D23" s="257"/>
      <c r="E23" s="169"/>
      <c r="F23" s="192"/>
      <c r="G23" s="169"/>
      <c r="H23" s="278"/>
      <c r="I23" s="75"/>
      <c r="J23" s="169"/>
      <c r="K23" s="257"/>
      <c r="L23" s="169"/>
      <c r="M23" s="257"/>
      <c r="N23" s="169"/>
      <c r="O23" s="169"/>
      <c r="P23" s="78"/>
      <c r="Q23" s="169"/>
      <c r="R23" s="169"/>
      <c r="S23" s="169"/>
      <c r="T23" s="257"/>
      <c r="U23" s="169"/>
      <c r="V23" s="169"/>
    </row>
    <row r="24" spans="1:22">
      <c r="A24" s="90" t="s">
        <v>8</v>
      </c>
      <c r="B24" s="100" t="s">
        <v>126</v>
      </c>
      <c r="C24" s="147"/>
      <c r="D24" s="147"/>
      <c r="E24" s="147"/>
      <c r="F24" s="147"/>
      <c r="G24" s="147"/>
      <c r="H24" s="148"/>
      <c r="I24" s="100" t="s">
        <v>127</v>
      </c>
      <c r="J24" s="147"/>
      <c r="K24" s="147"/>
      <c r="L24" s="147"/>
      <c r="M24" s="147"/>
      <c r="N24" s="147"/>
      <c r="O24" s="148"/>
      <c r="P24" s="195" t="s">
        <v>143</v>
      </c>
    </row>
    <row r="25" spans="1:22">
      <c r="A25" s="93"/>
      <c r="B25" s="104"/>
      <c r="C25" s="96"/>
      <c r="D25" s="96"/>
      <c r="E25" s="96"/>
      <c r="F25" s="96"/>
      <c r="G25" s="96"/>
      <c r="H25" s="151"/>
      <c r="I25" s="104"/>
      <c r="J25" s="96"/>
      <c r="K25" s="96"/>
      <c r="L25" s="96"/>
      <c r="M25" s="96"/>
      <c r="N25" s="96"/>
      <c r="O25" s="151"/>
      <c r="P25" s="195"/>
    </row>
    <row r="26" spans="1:22" s="83" customFormat="1" thickBot="1">
      <c r="A26" s="77"/>
      <c r="B26" s="235" t="s">
        <v>147</v>
      </c>
      <c r="C26" s="236"/>
      <c r="D26" s="236"/>
      <c r="E26" s="236"/>
      <c r="F26" s="236"/>
      <c r="G26" s="236"/>
      <c r="H26" s="237"/>
      <c r="I26" s="235" t="s">
        <v>148</v>
      </c>
      <c r="J26" s="236"/>
      <c r="K26" s="236"/>
      <c r="L26" s="236"/>
      <c r="M26" s="236"/>
      <c r="N26" s="236"/>
      <c r="O26" s="237"/>
      <c r="P26" s="195"/>
    </row>
    <row r="27" spans="1:22" s="83" customFormat="1" thickTop="1">
      <c r="A27" s="160" t="s">
        <v>128</v>
      </c>
      <c r="B27" s="185" t="s">
        <v>0</v>
      </c>
      <c r="C27" s="78" t="s">
        <v>506</v>
      </c>
      <c r="D27" s="79" t="s">
        <v>129</v>
      </c>
      <c r="E27" s="77" t="s">
        <v>508</v>
      </c>
      <c r="F27" s="79" t="s">
        <v>950</v>
      </c>
      <c r="G27" s="77" t="s">
        <v>509</v>
      </c>
      <c r="H27" s="239" t="s">
        <v>951</v>
      </c>
      <c r="I27" s="108" t="s">
        <v>0</v>
      </c>
      <c r="J27" s="78" t="s">
        <v>506</v>
      </c>
      <c r="K27" s="79" t="s">
        <v>129</v>
      </c>
      <c r="L27" s="77" t="s">
        <v>508</v>
      </c>
      <c r="M27" s="79" t="s">
        <v>950</v>
      </c>
      <c r="N27" s="78" t="s">
        <v>509</v>
      </c>
      <c r="O27" s="239" t="s">
        <v>951</v>
      </c>
      <c r="P27" s="196"/>
    </row>
    <row r="28" spans="1:22" s="83" customFormat="1" ht="15">
      <c r="A28" s="197" t="s">
        <v>130</v>
      </c>
      <c r="B28" s="164">
        <v>7586</v>
      </c>
      <c r="C28" s="122">
        <v>8171</v>
      </c>
      <c r="D28" s="172" t="s">
        <v>545</v>
      </c>
      <c r="E28" s="292">
        <v>8844</v>
      </c>
      <c r="F28" s="280" t="s">
        <v>240</v>
      </c>
      <c r="G28" s="122">
        <v>8575</v>
      </c>
      <c r="H28" s="128" t="s">
        <v>284</v>
      </c>
      <c r="I28" s="228">
        <v>8166</v>
      </c>
      <c r="J28" s="122">
        <v>8177</v>
      </c>
      <c r="K28" s="172" t="s">
        <v>546</v>
      </c>
      <c r="L28" s="292">
        <v>8146</v>
      </c>
      <c r="M28" s="278" t="s">
        <v>861</v>
      </c>
      <c r="N28" s="122">
        <v>8185</v>
      </c>
      <c r="O28" s="293" t="s">
        <v>466</v>
      </c>
      <c r="P28" s="76">
        <v>8209</v>
      </c>
      <c r="R28" s="294"/>
    </row>
    <row r="29" spans="1:22" s="83" customFormat="1" ht="15">
      <c r="A29" s="197" t="s">
        <v>497</v>
      </c>
      <c r="B29" s="164">
        <v>-4519</v>
      </c>
      <c r="C29" s="122">
        <v>-4415</v>
      </c>
      <c r="D29" s="172">
        <v>0.06</v>
      </c>
      <c r="E29" s="292">
        <v>-4162</v>
      </c>
      <c r="F29" s="278" t="s">
        <v>292</v>
      </c>
      <c r="G29" s="122">
        <v>-4385</v>
      </c>
      <c r="H29" s="128" t="s">
        <v>642</v>
      </c>
      <c r="I29" s="164">
        <v>-4624</v>
      </c>
      <c r="J29" s="122">
        <v>-4598</v>
      </c>
      <c r="K29" s="172" t="s">
        <v>549</v>
      </c>
      <c r="L29" s="169" t="s">
        <v>48</v>
      </c>
      <c r="M29" s="278" t="s">
        <v>682</v>
      </c>
      <c r="N29" s="122">
        <v>-4582</v>
      </c>
      <c r="O29" s="249" t="s">
        <v>397</v>
      </c>
      <c r="P29" s="76" t="s">
        <v>550</v>
      </c>
      <c r="Q29" s="122"/>
      <c r="R29" s="294"/>
      <c r="T29" s="295"/>
    </row>
    <row r="30" spans="1:22" s="83" customFormat="1" ht="15">
      <c r="A30" s="197" t="s">
        <v>551</v>
      </c>
      <c r="B30" s="167" t="s">
        <v>557</v>
      </c>
      <c r="C30" s="83" t="s">
        <v>75</v>
      </c>
      <c r="D30" s="172" t="s">
        <v>558</v>
      </c>
      <c r="E30" s="169" t="s">
        <v>10</v>
      </c>
      <c r="F30" s="278" t="s">
        <v>565</v>
      </c>
      <c r="G30" s="122" t="s">
        <v>99</v>
      </c>
      <c r="H30" s="128" t="s">
        <v>711</v>
      </c>
      <c r="I30" s="167" t="s">
        <v>49</v>
      </c>
      <c r="J30" s="83" t="s">
        <v>559</v>
      </c>
      <c r="K30" s="172" t="s">
        <v>261</v>
      </c>
      <c r="L30" s="169" t="s">
        <v>49</v>
      </c>
      <c r="M30" s="278">
        <v>0.2</v>
      </c>
      <c r="N30" s="122" t="s">
        <v>652</v>
      </c>
      <c r="O30" s="249" t="s">
        <v>861</v>
      </c>
      <c r="P30" s="76" t="s">
        <v>11</v>
      </c>
      <c r="Q30" s="122"/>
      <c r="R30" s="294"/>
      <c r="T30" s="295"/>
      <c r="U30" s="122"/>
      <c r="V30" s="122"/>
    </row>
    <row r="31" spans="1:22" s="83" customFormat="1" ht="15">
      <c r="A31" s="197" t="s">
        <v>132</v>
      </c>
      <c r="B31" s="167" t="s">
        <v>566</v>
      </c>
      <c r="C31" s="83" t="s">
        <v>62</v>
      </c>
      <c r="D31" s="172" t="s">
        <v>545</v>
      </c>
      <c r="E31" s="169" t="s">
        <v>1145</v>
      </c>
      <c r="F31" s="278" t="s">
        <v>387</v>
      </c>
      <c r="G31" s="83" t="s">
        <v>1209</v>
      </c>
      <c r="H31" s="128" t="s">
        <v>859</v>
      </c>
      <c r="I31" s="167" t="s">
        <v>40</v>
      </c>
      <c r="J31" s="83" t="s">
        <v>567</v>
      </c>
      <c r="K31" s="172" t="s">
        <v>568</v>
      </c>
      <c r="L31" s="169" t="s">
        <v>50</v>
      </c>
      <c r="M31" s="278">
        <v>0</v>
      </c>
      <c r="N31" s="83" t="s">
        <v>637</v>
      </c>
      <c r="O31" s="296">
        <v>0</v>
      </c>
      <c r="P31" s="76" t="s">
        <v>29</v>
      </c>
      <c r="Q31" s="122"/>
      <c r="R31" s="122"/>
      <c r="T31" s="295"/>
    </row>
    <row r="32" spans="1:22" s="83" customFormat="1" ht="15">
      <c r="A32" s="197" t="s">
        <v>133</v>
      </c>
      <c r="B32" s="167" t="s">
        <v>574</v>
      </c>
      <c r="C32" s="83" t="s">
        <v>53</v>
      </c>
      <c r="D32" s="172" t="s">
        <v>575</v>
      </c>
      <c r="E32" s="169" t="s">
        <v>708</v>
      </c>
      <c r="F32" s="278">
        <v>0.06</v>
      </c>
      <c r="G32" s="83" t="s">
        <v>40</v>
      </c>
      <c r="H32" s="128" t="s">
        <v>685</v>
      </c>
      <c r="I32" s="167" t="s">
        <v>51</v>
      </c>
      <c r="J32" s="83" t="s">
        <v>576</v>
      </c>
      <c r="K32" s="172">
        <v>0</v>
      </c>
      <c r="L32" s="169" t="s">
        <v>44</v>
      </c>
      <c r="M32" s="278" t="s">
        <v>281</v>
      </c>
      <c r="N32" s="83" t="s">
        <v>650</v>
      </c>
      <c r="O32" s="249" t="s">
        <v>232</v>
      </c>
      <c r="P32" s="76" t="s">
        <v>30</v>
      </c>
      <c r="T32" s="295"/>
    </row>
    <row r="33" spans="1:20" s="83" customFormat="1" ht="15">
      <c r="A33" s="197" t="s">
        <v>134</v>
      </c>
      <c r="B33" s="167" t="s">
        <v>582</v>
      </c>
      <c r="C33" s="83" t="s">
        <v>81</v>
      </c>
      <c r="D33" s="172" t="s">
        <v>418</v>
      </c>
      <c r="E33" s="169" t="s">
        <v>12</v>
      </c>
      <c r="F33" s="278" t="s">
        <v>376</v>
      </c>
      <c r="G33" s="83" t="s">
        <v>620</v>
      </c>
      <c r="H33" s="128" t="s">
        <v>261</v>
      </c>
      <c r="I33" s="167" t="s">
        <v>10</v>
      </c>
      <c r="J33" s="83" t="s">
        <v>580</v>
      </c>
      <c r="K33" s="172">
        <v>0.05</v>
      </c>
      <c r="L33" s="169" t="s">
        <v>41</v>
      </c>
      <c r="M33" s="278" t="s">
        <v>545</v>
      </c>
      <c r="N33" s="83" t="s">
        <v>607</v>
      </c>
      <c r="O33" s="296">
        <v>0.08</v>
      </c>
      <c r="P33" s="76" t="s">
        <v>31</v>
      </c>
      <c r="T33" s="295"/>
    </row>
    <row r="34" spans="1:20" s="83" customFormat="1" ht="15">
      <c r="A34" s="197" t="s">
        <v>135</v>
      </c>
      <c r="B34" s="167" t="s">
        <v>589</v>
      </c>
      <c r="C34" s="83" t="s">
        <v>590</v>
      </c>
      <c r="D34" s="172" t="s">
        <v>591</v>
      </c>
      <c r="E34" s="169" t="s">
        <v>803</v>
      </c>
      <c r="F34" s="278" t="s">
        <v>856</v>
      </c>
      <c r="G34" s="83" t="s">
        <v>994</v>
      </c>
      <c r="H34" s="128" t="s">
        <v>244</v>
      </c>
      <c r="I34" s="167" t="s">
        <v>52</v>
      </c>
      <c r="J34" s="83" t="s">
        <v>592</v>
      </c>
      <c r="K34" s="172" t="s">
        <v>545</v>
      </c>
      <c r="L34" s="169" t="s">
        <v>53</v>
      </c>
      <c r="M34" s="278">
        <v>0</v>
      </c>
      <c r="N34" s="83" t="s">
        <v>876</v>
      </c>
      <c r="O34" s="249" t="s">
        <v>244</v>
      </c>
      <c r="P34" s="76" t="s">
        <v>32</v>
      </c>
      <c r="T34" s="295"/>
    </row>
    <row r="35" spans="1:20" s="83" customFormat="1" ht="15">
      <c r="A35" s="197" t="s">
        <v>136</v>
      </c>
      <c r="B35" s="164">
        <v>1441</v>
      </c>
      <c r="C35" s="122">
        <v>1424</v>
      </c>
      <c r="D35" s="172" t="s">
        <v>402</v>
      </c>
      <c r="E35" s="292">
        <v>1257</v>
      </c>
      <c r="F35" s="278" t="s">
        <v>467</v>
      </c>
      <c r="G35" s="122">
        <v>1308</v>
      </c>
      <c r="H35" s="128" t="s">
        <v>648</v>
      </c>
      <c r="I35" s="164">
        <v>1441</v>
      </c>
      <c r="J35" s="122">
        <v>1347</v>
      </c>
      <c r="K35" s="172" t="s">
        <v>594</v>
      </c>
      <c r="L35" s="169" t="s">
        <v>54</v>
      </c>
      <c r="M35" s="278" t="s">
        <v>386</v>
      </c>
      <c r="N35" s="122">
        <v>1381</v>
      </c>
      <c r="O35" s="249" t="s">
        <v>987</v>
      </c>
      <c r="P35" s="76">
        <v>1044</v>
      </c>
      <c r="T35" s="295"/>
    </row>
    <row r="36" spans="1:20" s="83" customFormat="1" ht="15">
      <c r="A36" s="197" t="s">
        <v>498</v>
      </c>
      <c r="B36" s="164">
        <v>11252</v>
      </c>
      <c r="C36" s="122">
        <v>11475</v>
      </c>
      <c r="D36" s="172" t="s">
        <v>424</v>
      </c>
      <c r="E36" s="292">
        <v>11998</v>
      </c>
      <c r="F36" s="278">
        <v>0.02</v>
      </c>
      <c r="G36" s="122">
        <v>11759</v>
      </c>
      <c r="H36" s="135">
        <v>0</v>
      </c>
      <c r="I36" s="164">
        <v>11843</v>
      </c>
      <c r="J36" s="122">
        <v>11836</v>
      </c>
      <c r="K36" s="172" t="s">
        <v>565</v>
      </c>
      <c r="L36" s="292">
        <v>11709</v>
      </c>
      <c r="M36" s="278">
        <v>0</v>
      </c>
      <c r="N36" s="122">
        <v>11745</v>
      </c>
      <c r="O36" s="249" t="s">
        <v>256</v>
      </c>
      <c r="P36" s="76">
        <v>11827</v>
      </c>
      <c r="Q36" s="122"/>
      <c r="R36" s="122"/>
      <c r="T36" s="295"/>
    </row>
    <row r="37" spans="1:20" s="83" customFormat="1" ht="15">
      <c r="A37" s="197" t="s">
        <v>137</v>
      </c>
      <c r="B37" s="167" t="s">
        <v>605</v>
      </c>
      <c r="C37" s="83" t="s">
        <v>566</v>
      </c>
      <c r="D37" s="172" t="s">
        <v>399</v>
      </c>
      <c r="E37" s="169" t="s">
        <v>846</v>
      </c>
      <c r="F37" s="278" t="s">
        <v>1210</v>
      </c>
      <c r="G37" s="122" t="s">
        <v>1211</v>
      </c>
      <c r="H37" s="128" t="s">
        <v>239</v>
      </c>
      <c r="I37" s="167" t="s">
        <v>55</v>
      </c>
      <c r="J37" s="83" t="s">
        <v>606</v>
      </c>
      <c r="K37" s="172" t="s">
        <v>240</v>
      </c>
      <c r="L37" s="169" t="s">
        <v>7</v>
      </c>
      <c r="M37" s="278" t="s">
        <v>244</v>
      </c>
      <c r="N37" s="122" t="s">
        <v>1060</v>
      </c>
      <c r="O37" s="249" t="s">
        <v>413</v>
      </c>
      <c r="P37" s="76" t="s">
        <v>33</v>
      </c>
      <c r="Q37" s="122"/>
      <c r="R37" s="122"/>
      <c r="T37" s="295"/>
    </row>
    <row r="38" spans="1:20" s="83" customFormat="1" ht="15">
      <c r="A38" s="197" t="s">
        <v>138</v>
      </c>
      <c r="B38" s="167" t="s">
        <v>609</v>
      </c>
      <c r="C38" s="83" t="s">
        <v>101</v>
      </c>
      <c r="D38" s="172" t="s">
        <v>578</v>
      </c>
      <c r="E38" s="169" t="s">
        <v>84</v>
      </c>
      <c r="F38" s="278" t="s">
        <v>268</v>
      </c>
      <c r="G38" s="83" t="s">
        <v>41</v>
      </c>
      <c r="H38" s="128" t="s">
        <v>236</v>
      </c>
      <c r="I38" s="167" t="s">
        <v>2</v>
      </c>
      <c r="J38" s="83" t="s">
        <v>82</v>
      </c>
      <c r="K38" s="172" t="s">
        <v>545</v>
      </c>
      <c r="L38" s="169" t="s">
        <v>41</v>
      </c>
      <c r="M38" s="278" t="s">
        <v>568</v>
      </c>
      <c r="N38" s="83" t="s">
        <v>98</v>
      </c>
      <c r="O38" s="249" t="s">
        <v>375</v>
      </c>
      <c r="P38" s="76" t="s">
        <v>34</v>
      </c>
      <c r="Q38" s="122"/>
      <c r="R38" s="122"/>
      <c r="T38" s="295"/>
    </row>
    <row r="39" spans="1:20" s="83" customFormat="1" ht="15">
      <c r="A39" s="197" t="s">
        <v>139</v>
      </c>
      <c r="B39" s="164">
        <v>3409</v>
      </c>
      <c r="C39" s="122">
        <v>3601</v>
      </c>
      <c r="D39" s="172" t="s">
        <v>611</v>
      </c>
      <c r="E39" s="292">
        <v>3588</v>
      </c>
      <c r="F39" s="278">
        <v>0.01</v>
      </c>
      <c r="G39" s="122">
        <v>3632</v>
      </c>
      <c r="H39" s="128" t="s">
        <v>280</v>
      </c>
      <c r="I39" s="164">
        <v>3685</v>
      </c>
      <c r="J39" s="83" t="s">
        <v>612</v>
      </c>
      <c r="K39" s="172">
        <v>0.02</v>
      </c>
      <c r="L39" s="292">
        <v>3553</v>
      </c>
      <c r="M39" s="278">
        <v>0</v>
      </c>
      <c r="N39" s="122">
        <v>3639</v>
      </c>
      <c r="O39" s="296">
        <v>0</v>
      </c>
      <c r="P39" s="145">
        <v>3568</v>
      </c>
      <c r="T39" s="295"/>
    </row>
    <row r="40" spans="1:20" s="83" customFormat="1" ht="15">
      <c r="A40" s="197" t="s">
        <v>140</v>
      </c>
      <c r="B40" s="167" t="s">
        <v>613</v>
      </c>
      <c r="C40" s="83" t="s">
        <v>95</v>
      </c>
      <c r="D40" s="172" t="s">
        <v>305</v>
      </c>
      <c r="E40" s="245" t="s">
        <v>970</v>
      </c>
      <c r="F40" s="278" t="s">
        <v>970</v>
      </c>
      <c r="G40" s="245" t="s">
        <v>970</v>
      </c>
      <c r="H40" s="248" t="s">
        <v>970</v>
      </c>
      <c r="I40" s="167" t="s">
        <v>112</v>
      </c>
      <c r="J40" s="83" t="s">
        <v>109</v>
      </c>
      <c r="K40" s="172" t="s">
        <v>467</v>
      </c>
      <c r="L40" s="245" t="s">
        <v>970</v>
      </c>
      <c r="M40" s="278" t="s">
        <v>970</v>
      </c>
      <c r="N40" s="169" t="s">
        <v>970</v>
      </c>
      <c r="O40" s="248" t="s">
        <v>970</v>
      </c>
      <c r="P40" s="76" t="s">
        <v>35</v>
      </c>
      <c r="Q40" s="122"/>
      <c r="R40" s="122"/>
      <c r="T40" s="295"/>
    </row>
    <row r="41" spans="1:20" s="83" customFormat="1" ht="15">
      <c r="A41" s="197" t="s">
        <v>141</v>
      </c>
      <c r="B41" s="167" t="s">
        <v>76</v>
      </c>
      <c r="C41" s="83" t="s">
        <v>618</v>
      </c>
      <c r="D41" s="172" t="s">
        <v>461</v>
      </c>
      <c r="E41" s="245" t="s">
        <v>970</v>
      </c>
      <c r="F41" s="278" t="s">
        <v>970</v>
      </c>
      <c r="G41" s="245" t="s">
        <v>970</v>
      </c>
      <c r="H41" s="248" t="s">
        <v>970</v>
      </c>
      <c r="I41" s="167" t="s">
        <v>619</v>
      </c>
      <c r="J41" s="83" t="s">
        <v>620</v>
      </c>
      <c r="K41" s="172">
        <v>0.01</v>
      </c>
      <c r="L41" s="245" t="s">
        <v>970</v>
      </c>
      <c r="M41" s="278" t="s">
        <v>970</v>
      </c>
      <c r="N41" s="169" t="s">
        <v>970</v>
      </c>
      <c r="O41" s="248" t="s">
        <v>970</v>
      </c>
      <c r="P41" s="76" t="s">
        <v>36</v>
      </c>
      <c r="Q41" s="122"/>
      <c r="R41" s="122"/>
      <c r="T41" s="295"/>
    </row>
    <row r="42" spans="1:20" s="83" customFormat="1" ht="15">
      <c r="A42" s="197" t="s">
        <v>142</v>
      </c>
      <c r="B42" s="167" t="s">
        <v>559</v>
      </c>
      <c r="C42" s="83" t="s">
        <v>47</v>
      </c>
      <c r="D42" s="172" t="s">
        <v>624</v>
      </c>
      <c r="E42" s="83" t="s">
        <v>970</v>
      </c>
      <c r="F42" s="172" t="s">
        <v>970</v>
      </c>
      <c r="G42" s="75" t="s">
        <v>970</v>
      </c>
      <c r="H42" s="249" t="s">
        <v>970</v>
      </c>
      <c r="I42" s="167" t="s">
        <v>625</v>
      </c>
      <c r="J42" s="83" t="s">
        <v>626</v>
      </c>
      <c r="K42" s="172" t="s">
        <v>627</v>
      </c>
      <c r="L42" s="75" t="s">
        <v>970</v>
      </c>
      <c r="M42" s="172" t="s">
        <v>970</v>
      </c>
      <c r="N42" s="75" t="s">
        <v>970</v>
      </c>
      <c r="O42" s="249" t="s">
        <v>970</v>
      </c>
      <c r="P42" s="76" t="s">
        <v>38</v>
      </c>
    </row>
    <row r="43" spans="1:20" s="83" customFormat="1" ht="15">
      <c r="A43" s="197" t="s">
        <v>1191</v>
      </c>
      <c r="B43" s="167" t="s">
        <v>1212</v>
      </c>
      <c r="C43" s="169" t="s">
        <v>970</v>
      </c>
      <c r="D43" s="278" t="s">
        <v>970</v>
      </c>
      <c r="E43" s="169" t="s">
        <v>1213</v>
      </c>
      <c r="F43" s="257" t="s">
        <v>299</v>
      </c>
      <c r="G43" s="245" t="s">
        <v>970</v>
      </c>
      <c r="H43" s="248" t="s">
        <v>970</v>
      </c>
      <c r="I43" s="167" t="s">
        <v>56</v>
      </c>
      <c r="J43" s="169" t="s">
        <v>970</v>
      </c>
      <c r="K43" s="278" t="s">
        <v>970</v>
      </c>
      <c r="L43" s="169" t="s">
        <v>57</v>
      </c>
      <c r="M43" s="257" t="s">
        <v>278</v>
      </c>
      <c r="N43" s="245" t="s">
        <v>970</v>
      </c>
      <c r="O43" s="248" t="s">
        <v>970</v>
      </c>
      <c r="P43" s="76" t="s">
        <v>1214</v>
      </c>
    </row>
    <row r="44" spans="1:20" s="83" customFormat="1" thickBot="1">
      <c r="A44" s="285" t="s">
        <v>1198</v>
      </c>
      <c r="B44" s="136" t="s">
        <v>1215</v>
      </c>
      <c r="C44" s="297" t="s">
        <v>970</v>
      </c>
      <c r="D44" s="298" t="s">
        <v>970</v>
      </c>
      <c r="E44" s="297" t="s">
        <v>745</v>
      </c>
      <c r="F44" s="298" t="s">
        <v>467</v>
      </c>
      <c r="G44" s="297" t="s">
        <v>970</v>
      </c>
      <c r="H44" s="299" t="s">
        <v>970</v>
      </c>
      <c r="I44" s="136" t="s">
        <v>43</v>
      </c>
      <c r="J44" s="297" t="s">
        <v>970</v>
      </c>
      <c r="K44" s="298" t="s">
        <v>970</v>
      </c>
      <c r="L44" s="297" t="s">
        <v>58</v>
      </c>
      <c r="M44" s="298">
        <v>0.16</v>
      </c>
      <c r="N44" s="297" t="s">
        <v>970</v>
      </c>
      <c r="O44" s="299" t="s">
        <v>970</v>
      </c>
      <c r="P44" s="76" t="s">
        <v>1216</v>
      </c>
    </row>
    <row r="45" spans="1:20" ht="18" thickTop="1" thickBot="1">
      <c r="A45" s="203" t="s">
        <v>973</v>
      </c>
      <c r="B45" s="211"/>
      <c r="C45" s="181" t="s">
        <v>1217</v>
      </c>
      <c r="D45" s="182"/>
      <c r="E45" s="181" t="s">
        <v>1218</v>
      </c>
      <c r="F45" s="182"/>
      <c r="G45" s="181" t="s">
        <v>1219</v>
      </c>
      <c r="H45" s="183"/>
      <c r="I45" s="212"/>
      <c r="J45" s="181" t="s">
        <v>1109</v>
      </c>
      <c r="K45" s="182"/>
      <c r="L45" s="181" t="s">
        <v>1220</v>
      </c>
      <c r="M45" s="182"/>
      <c r="N45" s="181" t="s">
        <v>1221</v>
      </c>
      <c r="O45" s="183"/>
      <c r="P45" s="79"/>
    </row>
    <row r="46" spans="1:20" s="83" customFormat="1" ht="15"/>
    <row r="47" spans="1:20" s="83" customFormat="1" ht="15">
      <c r="J47" s="300"/>
    </row>
    <row r="48" spans="1:20" s="83" customFormat="1" ht="15">
      <c r="J48" s="300"/>
    </row>
    <row r="49" spans="10:10" s="83" customFormat="1" ht="15">
      <c r="J49" s="300"/>
    </row>
    <row r="50" spans="10:10" s="83" customFormat="1" ht="15"/>
    <row r="51" spans="10:10" s="83" customFormat="1" ht="15"/>
    <row r="52" spans="10:10" s="83" customFormat="1" ht="15"/>
    <row r="53" spans="10:10" s="83" customFormat="1" ht="15"/>
    <row r="54" spans="10:10" s="83" customFormat="1" ht="15"/>
    <row r="55" spans="10:10" s="83" customFormat="1" ht="15"/>
  </sheetData>
  <mergeCells count="28">
    <mergeCell ref="C45:D45"/>
    <mergeCell ref="E45:F45"/>
    <mergeCell ref="G45:H45"/>
    <mergeCell ref="J45:K45"/>
    <mergeCell ref="L45:M45"/>
    <mergeCell ref="N45:O45"/>
    <mergeCell ref="Q22:R22"/>
    <mergeCell ref="S22:T22"/>
    <mergeCell ref="U22:V22"/>
    <mergeCell ref="A24:A25"/>
    <mergeCell ref="B24:H25"/>
    <mergeCell ref="I24:O25"/>
    <mergeCell ref="P24:P27"/>
    <mergeCell ref="B26:H26"/>
    <mergeCell ref="I26:O26"/>
    <mergeCell ref="C22:D22"/>
    <mergeCell ref="E22:F22"/>
    <mergeCell ref="G22:H22"/>
    <mergeCell ref="J22:K22"/>
    <mergeCell ref="L22:M22"/>
    <mergeCell ref="N22:O22"/>
    <mergeCell ref="A1:A2"/>
    <mergeCell ref="B1:H2"/>
    <mergeCell ref="I1:O2"/>
    <mergeCell ref="P1:V2"/>
    <mergeCell ref="B3:H3"/>
    <mergeCell ref="I3:O3"/>
    <mergeCell ref="P3:V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50F6F-2785-8442-AFC9-677121154CCA}">
  <dimension ref="A1:AK252"/>
  <sheetViews>
    <sheetView tabSelected="1" workbookViewId="0">
      <selection sqref="A1:XFD1048576"/>
    </sheetView>
  </sheetViews>
  <sheetFormatPr baseColWidth="10" defaultRowHeight="16"/>
  <cols>
    <col min="1" max="1" width="58.33203125" bestFit="1" customWidth="1"/>
    <col min="2" max="3" width="8.1640625" bestFit="1" customWidth="1"/>
    <col min="4" max="4" width="9.1640625" bestFit="1" customWidth="1"/>
    <col min="5" max="5" width="8.1640625" bestFit="1" customWidth="1"/>
    <col min="6" max="6" width="9.1640625" bestFit="1" customWidth="1"/>
    <col min="7" max="7" width="8.1640625" bestFit="1" customWidth="1"/>
    <col min="8" max="8" width="9.1640625" bestFit="1" customWidth="1"/>
    <col min="9" max="10" width="8.1640625" bestFit="1" customWidth="1"/>
    <col min="11" max="11" width="9.1640625" bestFit="1" customWidth="1"/>
    <col min="12" max="12" width="8.1640625" bestFit="1" customWidth="1"/>
    <col min="13" max="13" width="9.1640625" bestFit="1" customWidth="1"/>
    <col min="14" max="14" width="8.1640625" bestFit="1" customWidth="1"/>
    <col min="15" max="15" width="9.1640625" bestFit="1" customWidth="1"/>
    <col min="16" max="17" width="8.1640625" bestFit="1" customWidth="1"/>
    <col min="18" max="18" width="9.1640625" bestFit="1" customWidth="1"/>
    <col min="19" max="19" width="8.1640625" bestFit="1" customWidth="1"/>
    <col min="20" max="20" width="9.1640625" bestFit="1" customWidth="1"/>
    <col min="21" max="21" width="11" customWidth="1"/>
    <col min="22" max="22" width="9.1640625" bestFit="1" customWidth="1"/>
    <col min="23" max="24" width="8.1640625" bestFit="1" customWidth="1"/>
    <col min="25" max="25" width="9.1640625" bestFit="1" customWidth="1"/>
    <col min="26" max="26" width="8.1640625" bestFit="1" customWidth="1"/>
    <col min="27" max="27" width="9.1640625" bestFit="1" customWidth="1"/>
    <col min="28" max="28" width="8.1640625" bestFit="1" customWidth="1"/>
    <col min="29" max="29" width="9.1640625" bestFit="1" customWidth="1"/>
    <col min="30" max="31" width="8.1640625" bestFit="1" customWidth="1"/>
    <col min="32" max="32" width="9.1640625" bestFit="1" customWidth="1"/>
    <col min="33" max="33" width="8.1640625" bestFit="1" customWidth="1"/>
    <col min="34" max="34" width="9.1640625" bestFit="1" customWidth="1"/>
    <col min="35" max="35" width="8.1640625" bestFit="1" customWidth="1"/>
    <col min="36" max="36" width="9.1640625" bestFit="1" customWidth="1"/>
    <col min="37" max="37" width="11" customWidth="1"/>
  </cols>
  <sheetData>
    <row r="1" spans="1:23">
      <c r="A1" s="146" t="s">
        <v>67</v>
      </c>
      <c r="B1" s="100" t="s">
        <v>149</v>
      </c>
      <c r="C1" s="147"/>
      <c r="D1" s="147"/>
      <c r="E1" s="147"/>
      <c r="F1" s="147"/>
      <c r="G1" s="147"/>
      <c r="H1" s="148"/>
      <c r="I1" s="100" t="s">
        <v>150</v>
      </c>
      <c r="J1" s="147"/>
      <c r="K1" s="147"/>
      <c r="L1" s="147"/>
      <c r="M1" s="147"/>
      <c r="N1" s="147"/>
      <c r="O1" s="148"/>
      <c r="P1" s="100" t="s">
        <v>151</v>
      </c>
      <c r="Q1" s="147"/>
      <c r="R1" s="147"/>
      <c r="S1" s="147"/>
      <c r="T1" s="147"/>
      <c r="U1" s="147"/>
      <c r="V1" s="148"/>
      <c r="W1" s="194" t="s">
        <v>143</v>
      </c>
    </row>
    <row r="2" spans="1:23">
      <c r="A2" s="150"/>
      <c r="B2" s="104"/>
      <c r="C2" s="96"/>
      <c r="D2" s="96"/>
      <c r="E2" s="96"/>
      <c r="F2" s="96"/>
      <c r="G2" s="96"/>
      <c r="H2" s="151"/>
      <c r="I2" s="104"/>
      <c r="J2" s="96"/>
      <c r="K2" s="96"/>
      <c r="L2" s="96"/>
      <c r="M2" s="96"/>
      <c r="N2" s="96"/>
      <c r="O2" s="151"/>
      <c r="P2" s="104"/>
      <c r="Q2" s="96"/>
      <c r="R2" s="96"/>
      <c r="S2" s="96"/>
      <c r="T2" s="96"/>
      <c r="U2" s="96"/>
      <c r="V2" s="151"/>
      <c r="W2" s="195"/>
    </row>
    <row r="3" spans="1:23">
      <c r="A3" s="153"/>
      <c r="B3" s="154" t="s">
        <v>154</v>
      </c>
      <c r="C3" s="89"/>
      <c r="D3" s="89"/>
      <c r="E3" s="89"/>
      <c r="F3" s="89"/>
      <c r="G3" s="89"/>
      <c r="H3" s="155"/>
      <c r="I3" s="154" t="s">
        <v>155</v>
      </c>
      <c r="J3" s="89"/>
      <c r="K3" s="89"/>
      <c r="L3" s="89"/>
      <c r="M3" s="89"/>
      <c r="N3" s="89"/>
      <c r="O3" s="155"/>
      <c r="P3" s="154" t="s">
        <v>156</v>
      </c>
      <c r="Q3" s="89"/>
      <c r="R3" s="89"/>
      <c r="S3" s="89"/>
      <c r="T3" s="89"/>
      <c r="U3" s="89"/>
      <c r="V3" s="155"/>
      <c r="W3" s="195"/>
    </row>
    <row r="4" spans="1:23">
      <c r="A4" s="156" t="s">
        <v>128</v>
      </c>
      <c r="B4" s="157" t="s">
        <v>0</v>
      </c>
      <c r="C4" s="160" t="s">
        <v>506</v>
      </c>
      <c r="D4" s="159" t="s">
        <v>949</v>
      </c>
      <c r="E4" s="160" t="s">
        <v>508</v>
      </c>
      <c r="F4" s="159" t="s">
        <v>950</v>
      </c>
      <c r="G4" s="160" t="s">
        <v>509</v>
      </c>
      <c r="H4" s="161" t="s">
        <v>951</v>
      </c>
      <c r="I4" s="157" t="s">
        <v>0</v>
      </c>
      <c r="J4" s="160" t="s">
        <v>506</v>
      </c>
      <c r="K4" s="159" t="s">
        <v>949</v>
      </c>
      <c r="L4" s="160" t="s">
        <v>508</v>
      </c>
      <c r="M4" s="159" t="s">
        <v>950</v>
      </c>
      <c r="N4" s="160" t="s">
        <v>509</v>
      </c>
      <c r="O4" s="161" t="s">
        <v>951</v>
      </c>
      <c r="P4" s="157" t="s">
        <v>0</v>
      </c>
      <c r="Q4" s="160" t="s">
        <v>506</v>
      </c>
      <c r="R4" s="159" t="s">
        <v>949</v>
      </c>
      <c r="S4" s="160" t="s">
        <v>508</v>
      </c>
      <c r="T4" s="159" t="s">
        <v>950</v>
      </c>
      <c r="U4" s="160" t="s">
        <v>509</v>
      </c>
      <c r="V4" s="161" t="s">
        <v>951</v>
      </c>
      <c r="W4" s="196"/>
    </row>
    <row r="5" spans="1:23">
      <c r="A5" s="163" t="s">
        <v>130</v>
      </c>
      <c r="B5" s="164">
        <v>9698</v>
      </c>
      <c r="C5" s="126">
        <v>9623</v>
      </c>
      <c r="D5" s="144" t="s">
        <v>231</v>
      </c>
      <c r="E5" s="75" t="s">
        <v>59</v>
      </c>
      <c r="F5" s="127" t="s">
        <v>389</v>
      </c>
      <c r="G5" s="126">
        <v>9652</v>
      </c>
      <c r="H5" s="165" t="s">
        <v>476</v>
      </c>
      <c r="I5" s="164">
        <v>7014</v>
      </c>
      <c r="J5" s="126">
        <v>7228</v>
      </c>
      <c r="K5" s="144" t="s">
        <v>296</v>
      </c>
      <c r="L5" s="126">
        <v>7172</v>
      </c>
      <c r="M5" s="127" t="s">
        <v>408</v>
      </c>
      <c r="N5" s="126">
        <v>7231</v>
      </c>
      <c r="O5" s="165" t="s">
        <v>676</v>
      </c>
      <c r="P5" s="164">
        <v>7014</v>
      </c>
      <c r="Q5" s="126">
        <v>7228</v>
      </c>
      <c r="R5" s="144" t="s">
        <v>296</v>
      </c>
      <c r="S5" s="75" t="s">
        <v>983</v>
      </c>
      <c r="T5" s="127" t="s">
        <v>545</v>
      </c>
      <c r="U5" s="126">
        <v>8858</v>
      </c>
      <c r="V5" s="166">
        <v>0</v>
      </c>
      <c r="W5" s="205">
        <v>8209</v>
      </c>
    </row>
    <row r="6" spans="1:23">
      <c r="A6" s="163" t="s">
        <v>497</v>
      </c>
      <c r="B6" s="164">
        <v>-3982</v>
      </c>
      <c r="C6" s="126">
        <v>-4079</v>
      </c>
      <c r="D6" s="144" t="s">
        <v>402</v>
      </c>
      <c r="E6" s="126">
        <v>-4161</v>
      </c>
      <c r="F6" s="127" t="s">
        <v>472</v>
      </c>
      <c r="G6" s="126">
        <v>-4163</v>
      </c>
      <c r="H6" s="165" t="s">
        <v>401</v>
      </c>
      <c r="I6" s="164">
        <v>-5159</v>
      </c>
      <c r="J6" s="126">
        <v>-5072</v>
      </c>
      <c r="K6" s="144" t="s">
        <v>297</v>
      </c>
      <c r="L6" s="126">
        <v>-4887</v>
      </c>
      <c r="M6" s="127">
        <v>0</v>
      </c>
      <c r="N6" s="126">
        <v>-5039</v>
      </c>
      <c r="O6" s="165" t="s">
        <v>245</v>
      </c>
      <c r="P6" s="164">
        <v>-5159</v>
      </c>
      <c r="Q6" s="126">
        <v>-5072</v>
      </c>
      <c r="R6" s="144" t="s">
        <v>297</v>
      </c>
      <c r="S6" s="126">
        <v>-4381</v>
      </c>
      <c r="T6" s="25">
        <v>0</v>
      </c>
      <c r="U6" s="126">
        <v>-4656</v>
      </c>
      <c r="V6" s="165" t="s">
        <v>240</v>
      </c>
      <c r="W6" s="76" t="s">
        <v>550</v>
      </c>
    </row>
    <row r="7" spans="1:23">
      <c r="A7" s="163" t="s">
        <v>551</v>
      </c>
      <c r="B7" s="167" t="s">
        <v>37</v>
      </c>
      <c r="C7" s="75" t="s">
        <v>80</v>
      </c>
      <c r="D7" s="144" t="s">
        <v>584</v>
      </c>
      <c r="E7" s="75" t="s">
        <v>20</v>
      </c>
      <c r="F7" s="127" t="s">
        <v>299</v>
      </c>
      <c r="G7" s="75" t="s">
        <v>4</v>
      </c>
      <c r="H7" s="165" t="s">
        <v>294</v>
      </c>
      <c r="I7" s="167" t="s">
        <v>119</v>
      </c>
      <c r="J7" s="75" t="s">
        <v>629</v>
      </c>
      <c r="K7" s="144" t="s">
        <v>369</v>
      </c>
      <c r="L7" s="75" t="s">
        <v>686</v>
      </c>
      <c r="M7" s="127" t="s">
        <v>662</v>
      </c>
      <c r="N7" s="75" t="s">
        <v>590</v>
      </c>
      <c r="O7" s="165" t="s">
        <v>628</v>
      </c>
      <c r="P7" s="167" t="s">
        <v>119</v>
      </c>
      <c r="Q7" s="75" t="s">
        <v>629</v>
      </c>
      <c r="R7" s="144" t="s">
        <v>369</v>
      </c>
      <c r="S7" s="75" t="s">
        <v>19</v>
      </c>
      <c r="T7" s="127" t="s">
        <v>404</v>
      </c>
      <c r="U7" s="75" t="s">
        <v>2</v>
      </c>
      <c r="V7" s="165" t="s">
        <v>398</v>
      </c>
      <c r="W7" s="76" t="s">
        <v>11</v>
      </c>
    </row>
    <row r="8" spans="1:23">
      <c r="A8" s="163" t="s">
        <v>132</v>
      </c>
      <c r="B8" s="167" t="s">
        <v>60</v>
      </c>
      <c r="C8" s="75" t="s">
        <v>29</v>
      </c>
      <c r="D8" s="144" t="s">
        <v>278</v>
      </c>
      <c r="E8" s="75" t="s">
        <v>61</v>
      </c>
      <c r="F8" s="127" t="s">
        <v>280</v>
      </c>
      <c r="G8" s="75" t="s">
        <v>113</v>
      </c>
      <c r="H8" s="165">
        <v>0.02</v>
      </c>
      <c r="I8" s="167" t="s">
        <v>633</v>
      </c>
      <c r="J8" s="75" t="s">
        <v>634</v>
      </c>
      <c r="K8" s="144" t="s">
        <v>635</v>
      </c>
      <c r="L8" s="75" t="s">
        <v>1222</v>
      </c>
      <c r="M8" s="127" t="s">
        <v>856</v>
      </c>
      <c r="N8" s="75" t="s">
        <v>1223</v>
      </c>
      <c r="O8" s="165">
        <v>0</v>
      </c>
      <c r="P8" s="167" t="s">
        <v>633</v>
      </c>
      <c r="Q8" s="75" t="s">
        <v>634</v>
      </c>
      <c r="R8" s="144" t="s">
        <v>635</v>
      </c>
      <c r="S8" s="75" t="s">
        <v>107</v>
      </c>
      <c r="T8" s="127" t="s">
        <v>473</v>
      </c>
      <c r="U8" s="75" t="s">
        <v>29</v>
      </c>
      <c r="V8" s="165" t="s">
        <v>416</v>
      </c>
      <c r="W8" s="76" t="s">
        <v>29</v>
      </c>
    </row>
    <row r="9" spans="1:23">
      <c r="A9" s="163" t="s">
        <v>133</v>
      </c>
      <c r="B9" s="167" t="s">
        <v>62</v>
      </c>
      <c r="C9" s="75" t="s">
        <v>643</v>
      </c>
      <c r="D9" s="144" t="s">
        <v>278</v>
      </c>
      <c r="E9" s="75" t="s">
        <v>63</v>
      </c>
      <c r="F9" s="127" t="s">
        <v>474</v>
      </c>
      <c r="G9" s="75" t="s">
        <v>647</v>
      </c>
      <c r="H9" s="165" t="s">
        <v>244</v>
      </c>
      <c r="I9" s="167" t="s">
        <v>116</v>
      </c>
      <c r="J9" s="75" t="s">
        <v>644</v>
      </c>
      <c r="K9" s="144" t="s">
        <v>422</v>
      </c>
      <c r="L9" s="75" t="s">
        <v>583</v>
      </c>
      <c r="M9" s="127" t="s">
        <v>594</v>
      </c>
      <c r="N9" s="75" t="s">
        <v>1053</v>
      </c>
      <c r="O9" s="165" t="s">
        <v>293</v>
      </c>
      <c r="P9" s="167" t="s">
        <v>116</v>
      </c>
      <c r="Q9" s="75" t="s">
        <v>644</v>
      </c>
      <c r="R9" s="144" t="s">
        <v>422</v>
      </c>
      <c r="S9" s="75" t="s">
        <v>751</v>
      </c>
      <c r="T9" s="127" t="s">
        <v>412</v>
      </c>
      <c r="U9" s="75" t="s">
        <v>576</v>
      </c>
      <c r="V9" s="165" t="s">
        <v>848</v>
      </c>
      <c r="W9" s="76" t="s">
        <v>30</v>
      </c>
    </row>
    <row r="10" spans="1:23">
      <c r="A10" s="163" t="s">
        <v>134</v>
      </c>
      <c r="B10" s="167" t="s">
        <v>47</v>
      </c>
      <c r="C10" s="75" t="s">
        <v>651</v>
      </c>
      <c r="D10" s="144" t="s">
        <v>439</v>
      </c>
      <c r="E10" s="75" t="s">
        <v>47</v>
      </c>
      <c r="F10" s="127" t="s">
        <v>286</v>
      </c>
      <c r="G10" s="75" t="s">
        <v>79</v>
      </c>
      <c r="H10" s="165" t="s">
        <v>265</v>
      </c>
      <c r="I10" s="167" t="s">
        <v>581</v>
      </c>
      <c r="J10" s="75" t="s">
        <v>617</v>
      </c>
      <c r="K10" s="144" t="s">
        <v>422</v>
      </c>
      <c r="L10" s="75" t="s">
        <v>581</v>
      </c>
      <c r="M10" s="127">
        <v>0.01</v>
      </c>
      <c r="N10" s="75" t="s">
        <v>581</v>
      </c>
      <c r="O10" s="165" t="s">
        <v>248</v>
      </c>
      <c r="P10" s="167" t="s">
        <v>581</v>
      </c>
      <c r="Q10" s="75" t="s">
        <v>617</v>
      </c>
      <c r="R10" s="144" t="s">
        <v>422</v>
      </c>
      <c r="S10" s="75" t="s">
        <v>652</v>
      </c>
      <c r="T10" s="127" t="s">
        <v>257</v>
      </c>
      <c r="U10" s="75" t="s">
        <v>618</v>
      </c>
      <c r="V10" s="165" t="s">
        <v>425</v>
      </c>
      <c r="W10" s="76" t="s">
        <v>31</v>
      </c>
    </row>
    <row r="11" spans="1:23">
      <c r="A11" s="163" t="s">
        <v>135</v>
      </c>
      <c r="B11" s="167" t="s">
        <v>14</v>
      </c>
      <c r="C11" s="75" t="s">
        <v>26</v>
      </c>
      <c r="D11" s="168">
        <v>0.09</v>
      </c>
      <c r="E11" s="75" t="s">
        <v>26</v>
      </c>
      <c r="F11" s="127" t="s">
        <v>676</v>
      </c>
      <c r="G11" s="126" t="s">
        <v>839</v>
      </c>
      <c r="H11" s="165" t="s">
        <v>575</v>
      </c>
      <c r="I11" s="167" t="s">
        <v>653</v>
      </c>
      <c r="J11" s="75" t="s">
        <v>110</v>
      </c>
      <c r="K11" s="144" t="s">
        <v>624</v>
      </c>
      <c r="L11" s="75" t="s">
        <v>994</v>
      </c>
      <c r="M11" s="127" t="s">
        <v>292</v>
      </c>
      <c r="N11" s="126" t="s">
        <v>1013</v>
      </c>
      <c r="O11" s="165" t="s">
        <v>387</v>
      </c>
      <c r="P11" s="167" t="s">
        <v>653</v>
      </c>
      <c r="Q11" s="75" t="s">
        <v>110</v>
      </c>
      <c r="R11" s="144" t="s">
        <v>624</v>
      </c>
      <c r="S11" s="75" t="s">
        <v>838</v>
      </c>
      <c r="T11" s="25">
        <v>0</v>
      </c>
      <c r="U11" s="126" t="s">
        <v>119</v>
      </c>
      <c r="V11" s="165" t="s">
        <v>413</v>
      </c>
      <c r="W11" s="76" t="s">
        <v>32</v>
      </c>
    </row>
    <row r="12" spans="1:23">
      <c r="A12" s="163" t="s">
        <v>136</v>
      </c>
      <c r="B12" s="164">
        <v>1426</v>
      </c>
      <c r="C12" s="126">
        <v>1484</v>
      </c>
      <c r="D12" s="144" t="s">
        <v>658</v>
      </c>
      <c r="E12" s="126">
        <v>1399</v>
      </c>
      <c r="F12" s="127" t="s">
        <v>894</v>
      </c>
      <c r="G12" s="126">
        <v>1404</v>
      </c>
      <c r="H12" s="165" t="s">
        <v>782</v>
      </c>
      <c r="I12" s="167" t="s">
        <v>659</v>
      </c>
      <c r="J12" s="75" t="s">
        <v>660</v>
      </c>
      <c r="K12" s="168">
        <v>0</v>
      </c>
      <c r="L12" s="126">
        <v>1119</v>
      </c>
      <c r="M12" s="127">
        <v>0</v>
      </c>
      <c r="N12" s="75" t="s">
        <v>1224</v>
      </c>
      <c r="O12" s="165" t="s">
        <v>256</v>
      </c>
      <c r="P12" s="167" t="s">
        <v>659</v>
      </c>
      <c r="Q12" s="75" t="s">
        <v>660</v>
      </c>
      <c r="R12" s="168">
        <v>0</v>
      </c>
      <c r="S12" s="126">
        <v>1404</v>
      </c>
      <c r="T12" s="25">
        <v>0</v>
      </c>
      <c r="U12" s="126">
        <v>1311</v>
      </c>
      <c r="V12" s="165" t="s">
        <v>244</v>
      </c>
      <c r="W12" s="145">
        <v>1044</v>
      </c>
    </row>
    <row r="13" spans="1:23">
      <c r="A13" s="163" t="s">
        <v>498</v>
      </c>
      <c r="B13" s="164">
        <v>12631</v>
      </c>
      <c r="C13" s="126">
        <v>12672</v>
      </c>
      <c r="D13" s="144" t="s">
        <v>279</v>
      </c>
      <c r="E13" s="75" t="s">
        <v>64</v>
      </c>
      <c r="F13" s="127" t="s">
        <v>250</v>
      </c>
      <c r="G13" s="126">
        <v>12742</v>
      </c>
      <c r="H13" s="165" t="s">
        <v>632</v>
      </c>
      <c r="I13" s="164">
        <v>11186</v>
      </c>
      <c r="J13" s="126">
        <v>11339</v>
      </c>
      <c r="K13" s="144" t="s">
        <v>615</v>
      </c>
      <c r="L13" s="75" t="s">
        <v>1225</v>
      </c>
      <c r="M13" s="127" t="s">
        <v>627</v>
      </c>
      <c r="N13" s="126">
        <v>11371</v>
      </c>
      <c r="O13" s="165" t="s">
        <v>685</v>
      </c>
      <c r="P13" s="164">
        <v>11186</v>
      </c>
      <c r="Q13" s="126">
        <v>11339</v>
      </c>
      <c r="R13" s="144" t="s">
        <v>615</v>
      </c>
      <c r="S13" s="126">
        <v>12431</v>
      </c>
      <c r="T13" s="127" t="s">
        <v>362</v>
      </c>
      <c r="U13" s="126">
        <v>12429</v>
      </c>
      <c r="V13" s="165" t="s">
        <v>304</v>
      </c>
      <c r="W13" s="145">
        <v>11827</v>
      </c>
    </row>
    <row r="14" spans="1:23">
      <c r="A14" s="163" t="s">
        <v>137</v>
      </c>
      <c r="B14" s="167" t="s">
        <v>65</v>
      </c>
      <c r="C14" s="75" t="s">
        <v>663</v>
      </c>
      <c r="D14" s="144" t="s">
        <v>250</v>
      </c>
      <c r="E14" s="75" t="s">
        <v>66</v>
      </c>
      <c r="F14" s="127" t="s">
        <v>292</v>
      </c>
      <c r="G14" s="75" t="s">
        <v>1226</v>
      </c>
      <c r="H14" s="165" t="s">
        <v>292</v>
      </c>
      <c r="I14" s="167" t="s">
        <v>664</v>
      </c>
      <c r="J14" s="75" t="s">
        <v>665</v>
      </c>
      <c r="K14" s="144" t="s">
        <v>666</v>
      </c>
      <c r="L14" s="75" t="s">
        <v>566</v>
      </c>
      <c r="M14" s="127">
        <v>0</v>
      </c>
      <c r="N14" s="75" t="s">
        <v>1227</v>
      </c>
      <c r="O14" s="165" t="s">
        <v>399</v>
      </c>
      <c r="P14" s="167" t="s">
        <v>664</v>
      </c>
      <c r="Q14" s="75" t="s">
        <v>665</v>
      </c>
      <c r="R14" s="144" t="s">
        <v>666</v>
      </c>
      <c r="S14" s="75" t="s">
        <v>1228</v>
      </c>
      <c r="T14" s="127">
        <v>0</v>
      </c>
      <c r="U14" s="75" t="s">
        <v>1229</v>
      </c>
      <c r="V14" s="165" t="s">
        <v>236</v>
      </c>
      <c r="W14" s="76" t="s">
        <v>33</v>
      </c>
    </row>
    <row r="15" spans="1:23">
      <c r="A15" s="163" t="s">
        <v>138</v>
      </c>
      <c r="B15" s="167" t="s">
        <v>39</v>
      </c>
      <c r="C15" s="75" t="s">
        <v>45</v>
      </c>
      <c r="D15" s="144" t="s">
        <v>230</v>
      </c>
      <c r="E15" s="75" t="s">
        <v>45</v>
      </c>
      <c r="F15" s="127">
        <v>0.06</v>
      </c>
      <c r="G15" s="126" t="s">
        <v>105</v>
      </c>
      <c r="H15" s="165" t="s">
        <v>294</v>
      </c>
      <c r="I15" s="167" t="s">
        <v>47</v>
      </c>
      <c r="J15" s="75" t="s">
        <v>47</v>
      </c>
      <c r="K15" s="144" t="s">
        <v>267</v>
      </c>
      <c r="L15" s="75" t="s">
        <v>893</v>
      </c>
      <c r="M15" s="127" t="s">
        <v>266</v>
      </c>
      <c r="N15" s="126" t="s">
        <v>47</v>
      </c>
      <c r="O15" s="165" t="s">
        <v>292</v>
      </c>
      <c r="P15" s="167" t="s">
        <v>47</v>
      </c>
      <c r="Q15" s="75" t="s">
        <v>47</v>
      </c>
      <c r="R15" s="144" t="s">
        <v>267</v>
      </c>
      <c r="S15" s="75" t="s">
        <v>745</v>
      </c>
      <c r="T15" s="127">
        <v>7.0000000000000007E-2</v>
      </c>
      <c r="U15" s="126" t="s">
        <v>608</v>
      </c>
      <c r="V15" s="165" t="s">
        <v>375</v>
      </c>
      <c r="W15" s="76" t="s">
        <v>34</v>
      </c>
    </row>
    <row r="16" spans="1:23">
      <c r="A16" s="163" t="s">
        <v>139</v>
      </c>
      <c r="B16" s="164">
        <v>3446</v>
      </c>
      <c r="C16" s="126">
        <v>3496</v>
      </c>
      <c r="D16" s="144" t="s">
        <v>385</v>
      </c>
      <c r="E16" s="126">
        <v>3464</v>
      </c>
      <c r="F16" s="127" t="s">
        <v>372</v>
      </c>
      <c r="G16" s="126">
        <v>3467</v>
      </c>
      <c r="H16" s="165" t="s">
        <v>584</v>
      </c>
      <c r="I16" s="164">
        <v>3468</v>
      </c>
      <c r="J16" s="126">
        <v>3639</v>
      </c>
      <c r="K16" s="144" t="s">
        <v>236</v>
      </c>
      <c r="L16" s="126">
        <v>3646</v>
      </c>
      <c r="M16" s="127" t="s">
        <v>236</v>
      </c>
      <c r="N16" s="126">
        <v>3629</v>
      </c>
      <c r="O16" s="165">
        <v>0</v>
      </c>
      <c r="P16" s="164">
        <v>3468</v>
      </c>
      <c r="Q16" s="126">
        <v>3639</v>
      </c>
      <c r="R16" s="144" t="s">
        <v>236</v>
      </c>
      <c r="S16" s="126">
        <v>3491</v>
      </c>
      <c r="T16" s="127" t="s">
        <v>632</v>
      </c>
      <c r="U16" s="126">
        <v>3484</v>
      </c>
      <c r="V16" s="165" t="s">
        <v>280</v>
      </c>
      <c r="W16" s="145">
        <v>3568</v>
      </c>
    </row>
    <row r="17" spans="1:37">
      <c r="A17" s="163" t="s">
        <v>140</v>
      </c>
      <c r="B17" s="167" t="s">
        <v>677</v>
      </c>
      <c r="C17" s="75" t="s">
        <v>92</v>
      </c>
      <c r="D17" s="144" t="s">
        <v>278</v>
      </c>
      <c r="E17" s="75" t="s">
        <v>970</v>
      </c>
      <c r="F17" s="127" t="s">
        <v>970</v>
      </c>
      <c r="G17" s="75" t="s">
        <v>970</v>
      </c>
      <c r="H17" s="165" t="s">
        <v>970</v>
      </c>
      <c r="I17" s="167" t="s">
        <v>104</v>
      </c>
      <c r="J17" s="75" t="s">
        <v>609</v>
      </c>
      <c r="K17" s="144" t="s">
        <v>678</v>
      </c>
      <c r="L17" s="75" t="s">
        <v>970</v>
      </c>
      <c r="M17" s="127" t="s">
        <v>970</v>
      </c>
      <c r="N17" s="75" t="s">
        <v>970</v>
      </c>
      <c r="O17" s="165" t="s">
        <v>970</v>
      </c>
      <c r="P17" s="167" t="s">
        <v>104</v>
      </c>
      <c r="Q17" s="75" t="s">
        <v>609</v>
      </c>
      <c r="R17" s="144" t="s">
        <v>678</v>
      </c>
      <c r="S17" s="75" t="s">
        <v>970</v>
      </c>
      <c r="T17" s="127" t="s">
        <v>970</v>
      </c>
      <c r="U17" s="75" t="s">
        <v>970</v>
      </c>
      <c r="V17" s="165" t="s">
        <v>970</v>
      </c>
      <c r="W17" s="76" t="s">
        <v>35</v>
      </c>
    </row>
    <row r="18" spans="1:37">
      <c r="A18" s="163" t="s">
        <v>141</v>
      </c>
      <c r="B18" s="167" t="s">
        <v>76</v>
      </c>
      <c r="C18" s="75" t="s">
        <v>89</v>
      </c>
      <c r="D18" s="144" t="s">
        <v>682</v>
      </c>
      <c r="E18" s="75" t="s">
        <v>970</v>
      </c>
      <c r="F18" s="127" t="s">
        <v>970</v>
      </c>
      <c r="G18" s="75" t="s">
        <v>970</v>
      </c>
      <c r="H18" s="165" t="s">
        <v>970</v>
      </c>
      <c r="I18" s="167" t="s">
        <v>582</v>
      </c>
      <c r="J18" s="75" t="s">
        <v>112</v>
      </c>
      <c r="K18" s="168">
        <v>0.01</v>
      </c>
      <c r="L18" s="75" t="s">
        <v>970</v>
      </c>
      <c r="M18" s="127" t="s">
        <v>970</v>
      </c>
      <c r="N18" s="75" t="s">
        <v>970</v>
      </c>
      <c r="O18" s="165" t="s">
        <v>970</v>
      </c>
      <c r="P18" s="167" t="s">
        <v>582</v>
      </c>
      <c r="Q18" s="75" t="s">
        <v>112</v>
      </c>
      <c r="R18" s="168">
        <v>0.01</v>
      </c>
      <c r="S18" s="75" t="s">
        <v>970</v>
      </c>
      <c r="T18" s="127" t="s">
        <v>970</v>
      </c>
      <c r="U18" s="75" t="s">
        <v>970</v>
      </c>
      <c r="V18" s="165" t="s">
        <v>970</v>
      </c>
      <c r="W18" s="76" t="s">
        <v>36</v>
      </c>
    </row>
    <row r="19" spans="1:37">
      <c r="A19" s="163" t="s">
        <v>142</v>
      </c>
      <c r="B19" s="167" t="s">
        <v>686</v>
      </c>
      <c r="C19" s="75" t="s">
        <v>12</v>
      </c>
      <c r="D19" s="144" t="s">
        <v>385</v>
      </c>
      <c r="E19" s="75" t="s">
        <v>970</v>
      </c>
      <c r="F19" s="172" t="s">
        <v>970</v>
      </c>
      <c r="G19" s="75" t="s">
        <v>970</v>
      </c>
      <c r="H19" s="135" t="s">
        <v>970</v>
      </c>
      <c r="I19" s="167" t="s">
        <v>651</v>
      </c>
      <c r="J19" s="75" t="s">
        <v>608</v>
      </c>
      <c r="K19" s="144" t="s">
        <v>272</v>
      </c>
      <c r="L19" s="75" t="s">
        <v>970</v>
      </c>
      <c r="M19" s="172" t="s">
        <v>970</v>
      </c>
      <c r="N19" s="75" t="s">
        <v>970</v>
      </c>
      <c r="O19" s="135" t="s">
        <v>970</v>
      </c>
      <c r="P19" s="167" t="s">
        <v>651</v>
      </c>
      <c r="Q19" s="75" t="s">
        <v>608</v>
      </c>
      <c r="R19" s="144" t="s">
        <v>272</v>
      </c>
      <c r="S19" s="75" t="s">
        <v>970</v>
      </c>
      <c r="T19" s="172" t="s">
        <v>970</v>
      </c>
      <c r="U19" s="75" t="s">
        <v>970</v>
      </c>
      <c r="V19" s="135" t="s">
        <v>970</v>
      </c>
      <c r="W19" s="76" t="s">
        <v>38</v>
      </c>
    </row>
    <row r="20" spans="1:37">
      <c r="A20" s="163" t="s">
        <v>1034</v>
      </c>
      <c r="B20" s="167" t="s">
        <v>41</v>
      </c>
      <c r="C20" s="75" t="s">
        <v>970</v>
      </c>
      <c r="D20" s="144" t="s">
        <v>970</v>
      </c>
      <c r="E20" s="75" t="s">
        <v>46</v>
      </c>
      <c r="F20" s="127" t="s">
        <v>256</v>
      </c>
      <c r="G20" s="75" t="s">
        <v>970</v>
      </c>
      <c r="H20" s="135" t="s">
        <v>970</v>
      </c>
      <c r="I20" s="167" t="s">
        <v>557</v>
      </c>
      <c r="J20" s="75" t="s">
        <v>970</v>
      </c>
      <c r="K20" s="144" t="s">
        <v>970</v>
      </c>
      <c r="L20" s="75" t="s">
        <v>106</v>
      </c>
      <c r="M20" s="127" t="s">
        <v>459</v>
      </c>
      <c r="N20" s="75" t="s">
        <v>970</v>
      </c>
      <c r="O20" s="135" t="s">
        <v>970</v>
      </c>
      <c r="P20" s="167" t="s">
        <v>582</v>
      </c>
      <c r="Q20" s="75" t="s">
        <v>970</v>
      </c>
      <c r="R20" s="144" t="s">
        <v>970</v>
      </c>
      <c r="S20" s="75" t="s">
        <v>112</v>
      </c>
      <c r="T20" s="127" t="s">
        <v>692</v>
      </c>
      <c r="U20" s="75" t="s">
        <v>970</v>
      </c>
      <c r="V20" s="135" t="s">
        <v>970</v>
      </c>
      <c r="W20" s="76" t="s">
        <v>87</v>
      </c>
    </row>
    <row r="21" spans="1:37" s="178" customFormat="1" ht="17" thickBot="1">
      <c r="A21" s="173" t="s">
        <v>1230</v>
      </c>
      <c r="B21" s="202" t="s">
        <v>42</v>
      </c>
      <c r="C21" s="80" t="s">
        <v>970</v>
      </c>
      <c r="D21" s="175" t="s">
        <v>970</v>
      </c>
      <c r="E21" s="80" t="s">
        <v>18</v>
      </c>
      <c r="F21" s="251" t="s">
        <v>244</v>
      </c>
      <c r="G21" s="80" t="s">
        <v>970</v>
      </c>
      <c r="H21" s="177" t="s">
        <v>970</v>
      </c>
      <c r="I21" s="202" t="s">
        <v>781</v>
      </c>
      <c r="J21" s="80" t="s">
        <v>970</v>
      </c>
      <c r="K21" s="175" t="s">
        <v>970</v>
      </c>
      <c r="L21" s="80" t="s">
        <v>84</v>
      </c>
      <c r="M21" s="251" t="s">
        <v>299</v>
      </c>
      <c r="N21" s="80" t="s">
        <v>970</v>
      </c>
      <c r="O21" s="177" t="s">
        <v>970</v>
      </c>
      <c r="P21" s="202" t="s">
        <v>101</v>
      </c>
      <c r="Q21" s="80" t="s">
        <v>970</v>
      </c>
      <c r="R21" s="175" t="s">
        <v>970</v>
      </c>
      <c r="S21" s="80" t="s">
        <v>98</v>
      </c>
      <c r="T21" s="301">
        <v>0.12</v>
      </c>
      <c r="U21" s="80" t="s">
        <v>970</v>
      </c>
      <c r="V21" s="177" t="s">
        <v>970</v>
      </c>
      <c r="W21" s="76" t="s">
        <v>99</v>
      </c>
    </row>
    <row r="22" spans="1:37" ht="18" thickTop="1" thickBot="1">
      <c r="A22" s="206" t="s">
        <v>973</v>
      </c>
      <c r="B22" s="225"/>
      <c r="C22" s="226" t="s">
        <v>1231</v>
      </c>
      <c r="D22" s="227"/>
      <c r="E22" s="181" t="s">
        <v>1232</v>
      </c>
      <c r="F22" s="182"/>
      <c r="G22" s="181" t="s">
        <v>1003</v>
      </c>
      <c r="H22" s="183"/>
      <c r="I22" s="225"/>
      <c r="J22" s="226" t="s">
        <v>1233</v>
      </c>
      <c r="K22" s="227"/>
      <c r="L22" s="181" t="s">
        <v>1234</v>
      </c>
      <c r="M22" s="182"/>
      <c r="N22" s="181" t="s">
        <v>1235</v>
      </c>
      <c r="O22" s="183"/>
      <c r="P22" s="225"/>
      <c r="Q22" s="226" t="s">
        <v>1073</v>
      </c>
      <c r="R22" s="227"/>
      <c r="S22" s="181" t="s">
        <v>1236</v>
      </c>
      <c r="T22" s="182"/>
      <c r="U22" s="181" t="s">
        <v>1237</v>
      </c>
      <c r="V22" s="183"/>
      <c r="W22" s="215"/>
    </row>
    <row r="23" spans="1:37" ht="17" thickBot="1">
      <c r="A23" s="190"/>
      <c r="B23" s="83"/>
      <c r="C23" s="83"/>
      <c r="D23" s="191"/>
      <c r="E23" s="83"/>
      <c r="F23" s="192"/>
      <c r="G23" s="83"/>
      <c r="H23" s="192"/>
      <c r="I23" s="83"/>
      <c r="J23" s="83"/>
      <c r="K23" s="191"/>
      <c r="L23" s="83"/>
      <c r="M23" s="192"/>
      <c r="N23" s="83"/>
      <c r="O23" s="192"/>
      <c r="P23" s="83"/>
      <c r="Q23" s="83"/>
      <c r="R23" s="191"/>
      <c r="S23" s="83"/>
      <c r="T23" s="192"/>
      <c r="U23" s="83"/>
      <c r="V23" s="192"/>
      <c r="W23" s="83"/>
      <c r="X23" s="83"/>
      <c r="Y23" s="193"/>
      <c r="Z23" s="83"/>
      <c r="AA23" s="192"/>
      <c r="AB23" s="83"/>
      <c r="AC23" s="192"/>
      <c r="AD23" s="83"/>
      <c r="AE23" s="83"/>
      <c r="AF23" s="191"/>
      <c r="AG23" s="83"/>
      <c r="AH23" s="192"/>
      <c r="AI23" s="83"/>
      <c r="AJ23" s="192"/>
      <c r="AK23" s="83"/>
    </row>
    <row r="24" spans="1:37">
      <c r="A24" s="146" t="s">
        <v>67</v>
      </c>
      <c r="B24" s="100" t="s">
        <v>152</v>
      </c>
      <c r="C24" s="147"/>
      <c r="D24" s="147"/>
      <c r="E24" s="147"/>
      <c r="F24" s="147"/>
      <c r="G24" s="147"/>
      <c r="H24" s="148"/>
      <c r="I24" s="100" t="s">
        <v>153</v>
      </c>
      <c r="J24" s="147"/>
      <c r="K24" s="147"/>
      <c r="L24" s="147"/>
      <c r="M24" s="147"/>
      <c r="N24" s="147"/>
      <c r="O24" s="148"/>
      <c r="P24" s="100" t="s">
        <v>159</v>
      </c>
      <c r="Q24" s="147"/>
      <c r="R24" s="147"/>
      <c r="S24" s="147"/>
      <c r="T24" s="147"/>
      <c r="U24" s="147"/>
      <c r="V24" s="148"/>
      <c r="W24" s="194" t="s">
        <v>143</v>
      </c>
      <c r="X24" s="83"/>
      <c r="Y24" s="193"/>
      <c r="Z24" s="83"/>
      <c r="AA24" s="192"/>
      <c r="AB24" s="83"/>
      <c r="AC24" s="192"/>
      <c r="AD24" s="83"/>
      <c r="AE24" s="83"/>
      <c r="AF24" s="191"/>
      <c r="AG24" s="83"/>
      <c r="AH24" s="192"/>
      <c r="AI24" s="83"/>
      <c r="AJ24" s="192"/>
      <c r="AK24" s="83"/>
    </row>
    <row r="25" spans="1:37">
      <c r="A25" s="150"/>
      <c r="B25" s="104"/>
      <c r="C25" s="96"/>
      <c r="D25" s="96"/>
      <c r="E25" s="96"/>
      <c r="F25" s="96"/>
      <c r="G25" s="96"/>
      <c r="H25" s="151"/>
      <c r="I25" s="104"/>
      <c r="J25" s="96"/>
      <c r="K25" s="96"/>
      <c r="L25" s="96"/>
      <c r="M25" s="96"/>
      <c r="N25" s="96"/>
      <c r="O25" s="151"/>
      <c r="P25" s="104"/>
      <c r="Q25" s="96"/>
      <c r="R25" s="96"/>
      <c r="S25" s="96"/>
      <c r="T25" s="96"/>
      <c r="U25" s="96"/>
      <c r="V25" s="151"/>
      <c r="W25" s="195"/>
      <c r="X25" s="83"/>
      <c r="Y25" s="193"/>
      <c r="Z25" s="83"/>
      <c r="AA25" s="192"/>
      <c r="AB25" s="83"/>
      <c r="AC25" s="192"/>
      <c r="AD25" s="83"/>
      <c r="AE25" s="83"/>
      <c r="AF25" s="191"/>
      <c r="AG25" s="83"/>
      <c r="AH25" s="192"/>
      <c r="AI25" s="83"/>
      <c r="AJ25" s="192"/>
      <c r="AK25" s="83"/>
    </row>
    <row r="26" spans="1:37">
      <c r="A26" s="153"/>
      <c r="B26" s="154" t="s">
        <v>157</v>
      </c>
      <c r="C26" s="89"/>
      <c r="D26" s="89"/>
      <c r="E26" s="89"/>
      <c r="F26" s="89"/>
      <c r="G26" s="89"/>
      <c r="H26" s="155"/>
      <c r="I26" s="154" t="s">
        <v>158</v>
      </c>
      <c r="J26" s="89"/>
      <c r="K26" s="89"/>
      <c r="L26" s="89"/>
      <c r="M26" s="89"/>
      <c r="N26" s="89"/>
      <c r="O26" s="155"/>
      <c r="P26" s="154" t="s">
        <v>164</v>
      </c>
      <c r="Q26" s="89"/>
      <c r="R26" s="89"/>
      <c r="S26" s="89"/>
      <c r="T26" s="89"/>
      <c r="U26" s="89"/>
      <c r="V26" s="155"/>
      <c r="W26" s="195"/>
      <c r="X26" s="83"/>
      <c r="Y26" s="193"/>
      <c r="Z26" s="83"/>
      <c r="AA26" s="192"/>
      <c r="AB26" s="83"/>
      <c r="AC26" s="192"/>
      <c r="AD26" s="83"/>
      <c r="AE26" s="83"/>
      <c r="AF26" s="191"/>
      <c r="AG26" s="83"/>
      <c r="AH26" s="192"/>
      <c r="AI26" s="83"/>
      <c r="AJ26" s="192"/>
      <c r="AK26" s="83"/>
    </row>
    <row r="27" spans="1:37">
      <c r="A27" s="156" t="s">
        <v>128</v>
      </c>
      <c r="B27" s="157" t="s">
        <v>0</v>
      </c>
      <c r="C27" s="160" t="s">
        <v>506</v>
      </c>
      <c r="D27" s="159" t="s">
        <v>949</v>
      </c>
      <c r="E27" s="160" t="s">
        <v>508</v>
      </c>
      <c r="F27" s="159" t="s">
        <v>950</v>
      </c>
      <c r="G27" s="160" t="s">
        <v>509</v>
      </c>
      <c r="H27" s="161" t="s">
        <v>951</v>
      </c>
      <c r="I27" s="157" t="s">
        <v>0</v>
      </c>
      <c r="J27" s="160" t="s">
        <v>506</v>
      </c>
      <c r="K27" s="159" t="s">
        <v>949</v>
      </c>
      <c r="L27" s="160" t="s">
        <v>508</v>
      </c>
      <c r="M27" s="159" t="s">
        <v>950</v>
      </c>
      <c r="N27" s="160" t="s">
        <v>509</v>
      </c>
      <c r="O27" s="161" t="s">
        <v>951</v>
      </c>
      <c r="P27" s="157" t="s">
        <v>0</v>
      </c>
      <c r="Q27" s="160" t="s">
        <v>506</v>
      </c>
      <c r="R27" s="159" t="s">
        <v>949</v>
      </c>
      <c r="S27" s="160" t="s">
        <v>508</v>
      </c>
      <c r="T27" s="159" t="s">
        <v>950</v>
      </c>
      <c r="U27" s="160" t="s">
        <v>509</v>
      </c>
      <c r="V27" s="161" t="s">
        <v>951</v>
      </c>
      <c r="W27" s="196"/>
      <c r="X27" s="83"/>
      <c r="Y27" s="193"/>
      <c r="Z27" s="83"/>
      <c r="AA27" s="192"/>
      <c r="AB27" s="83"/>
      <c r="AC27" s="192"/>
      <c r="AD27" s="83"/>
      <c r="AE27" s="83"/>
      <c r="AF27" s="191"/>
      <c r="AG27" s="83"/>
      <c r="AH27" s="192"/>
      <c r="AI27" s="83"/>
      <c r="AJ27" s="192"/>
      <c r="AK27" s="83"/>
    </row>
    <row r="28" spans="1:37">
      <c r="A28" s="163" t="s">
        <v>130</v>
      </c>
      <c r="B28" s="164">
        <v>7933</v>
      </c>
      <c r="C28" s="126">
        <v>8121</v>
      </c>
      <c r="D28" s="144" t="s">
        <v>628</v>
      </c>
      <c r="E28" s="126">
        <v>8118</v>
      </c>
      <c r="F28" s="127" t="s">
        <v>264</v>
      </c>
      <c r="G28" s="126">
        <v>8264</v>
      </c>
      <c r="H28" s="165" t="s">
        <v>655</v>
      </c>
      <c r="I28" s="164">
        <v>6861</v>
      </c>
      <c r="J28" s="126">
        <v>7277</v>
      </c>
      <c r="K28" s="144" t="s">
        <v>611</v>
      </c>
      <c r="L28" s="126">
        <v>7085</v>
      </c>
      <c r="M28" s="127" t="s">
        <v>632</v>
      </c>
      <c r="N28" s="126">
        <v>6872</v>
      </c>
      <c r="O28" s="165" t="s">
        <v>281</v>
      </c>
      <c r="P28" s="164">
        <v>7585</v>
      </c>
      <c r="Q28" s="126">
        <v>7603</v>
      </c>
      <c r="R28" s="144" t="s">
        <v>688</v>
      </c>
      <c r="S28" s="126">
        <v>7857</v>
      </c>
      <c r="T28" s="127" t="s">
        <v>761</v>
      </c>
      <c r="U28" s="126">
        <v>7612</v>
      </c>
      <c r="V28" s="165" t="s">
        <v>840</v>
      </c>
      <c r="W28" s="205">
        <v>8209</v>
      </c>
      <c r="X28" s="83"/>
      <c r="Y28" s="193"/>
      <c r="Z28" s="83"/>
      <c r="AA28" s="192"/>
      <c r="AB28" s="83"/>
      <c r="AC28" s="192"/>
      <c r="AD28" s="83"/>
      <c r="AE28" s="83"/>
      <c r="AF28" s="191"/>
      <c r="AG28" s="83"/>
      <c r="AH28" s="192"/>
      <c r="AI28" s="83"/>
      <c r="AJ28" s="192"/>
      <c r="AK28" s="83"/>
    </row>
    <row r="29" spans="1:37">
      <c r="A29" s="163" t="s">
        <v>497</v>
      </c>
      <c r="B29" s="164">
        <v>-4932</v>
      </c>
      <c r="C29" s="126">
        <v>-4936</v>
      </c>
      <c r="D29" s="144" t="s">
        <v>294</v>
      </c>
      <c r="E29" s="126">
        <v>-4836</v>
      </c>
      <c r="F29" s="127" t="s">
        <v>232</v>
      </c>
      <c r="G29" s="75" t="s">
        <v>1238</v>
      </c>
      <c r="H29" s="165" t="s">
        <v>405</v>
      </c>
      <c r="I29" s="164">
        <v>-5299</v>
      </c>
      <c r="J29" s="126">
        <v>-5051</v>
      </c>
      <c r="K29" s="144" t="s">
        <v>259</v>
      </c>
      <c r="L29" s="126">
        <v>-5279</v>
      </c>
      <c r="M29" s="127" t="s">
        <v>578</v>
      </c>
      <c r="N29" s="126">
        <v>-5299</v>
      </c>
      <c r="O29" s="165" t="s">
        <v>553</v>
      </c>
      <c r="P29" s="164">
        <v>-5047</v>
      </c>
      <c r="Q29" s="126">
        <v>-5036</v>
      </c>
      <c r="R29" s="144" t="s">
        <v>389</v>
      </c>
      <c r="S29" s="126">
        <v>-5007</v>
      </c>
      <c r="T29" s="127" t="s">
        <v>635</v>
      </c>
      <c r="U29" s="126">
        <v>-5028</v>
      </c>
      <c r="V29" s="165" t="s">
        <v>896</v>
      </c>
      <c r="W29" s="76" t="s">
        <v>550</v>
      </c>
      <c r="X29" s="83"/>
      <c r="Y29" s="193"/>
      <c r="Z29" s="83"/>
      <c r="AA29" s="192"/>
      <c r="AB29" s="83"/>
      <c r="AC29" s="192"/>
      <c r="AD29" s="83"/>
      <c r="AE29" s="83"/>
      <c r="AF29" s="191"/>
      <c r="AG29" s="83"/>
      <c r="AH29" s="192"/>
      <c r="AI29" s="83"/>
      <c r="AJ29" s="192"/>
      <c r="AK29" s="83"/>
    </row>
    <row r="30" spans="1:37">
      <c r="A30" s="163" t="s">
        <v>551</v>
      </c>
      <c r="B30" s="167" t="s">
        <v>27</v>
      </c>
      <c r="C30" s="75" t="s">
        <v>100</v>
      </c>
      <c r="D30" s="144" t="s">
        <v>553</v>
      </c>
      <c r="E30" s="75" t="s">
        <v>617</v>
      </c>
      <c r="F30" s="127" t="s">
        <v>1001</v>
      </c>
      <c r="G30" s="75" t="s">
        <v>82</v>
      </c>
      <c r="H30" s="165" t="s">
        <v>389</v>
      </c>
      <c r="I30" s="167" t="s">
        <v>630</v>
      </c>
      <c r="J30" s="75" t="s">
        <v>631</v>
      </c>
      <c r="K30" s="144" t="s">
        <v>632</v>
      </c>
      <c r="L30" s="75" t="s">
        <v>881</v>
      </c>
      <c r="M30" s="127" t="s">
        <v>468</v>
      </c>
      <c r="N30" s="75" t="s">
        <v>909</v>
      </c>
      <c r="O30" s="165" t="s">
        <v>236</v>
      </c>
      <c r="P30" s="167" t="s">
        <v>689</v>
      </c>
      <c r="Q30" s="75" t="s">
        <v>85</v>
      </c>
      <c r="R30" s="144" t="s">
        <v>472</v>
      </c>
      <c r="S30" s="75" t="s">
        <v>913</v>
      </c>
      <c r="T30" s="127" t="s">
        <v>1239</v>
      </c>
      <c r="U30" s="75" t="s">
        <v>26</v>
      </c>
      <c r="V30" s="165" t="s">
        <v>409</v>
      </c>
      <c r="W30" s="76" t="s">
        <v>11</v>
      </c>
      <c r="X30" s="83"/>
      <c r="Y30" s="193"/>
      <c r="Z30" s="83"/>
      <c r="AA30" s="192"/>
      <c r="AB30" s="83"/>
      <c r="AC30" s="192"/>
      <c r="AD30" s="83"/>
      <c r="AE30" s="83"/>
      <c r="AF30" s="191"/>
      <c r="AG30" s="83"/>
      <c r="AH30" s="192"/>
      <c r="AI30" s="83"/>
      <c r="AJ30" s="192"/>
      <c r="AK30" s="83"/>
    </row>
    <row r="31" spans="1:37">
      <c r="A31" s="163" t="s">
        <v>132</v>
      </c>
      <c r="B31" s="167" t="s">
        <v>638</v>
      </c>
      <c r="C31" s="75" t="s">
        <v>639</v>
      </c>
      <c r="D31" s="168">
        <v>0.06</v>
      </c>
      <c r="E31" s="75" t="s">
        <v>748</v>
      </c>
      <c r="F31" s="25">
        <v>0.11</v>
      </c>
      <c r="G31" s="75" t="s">
        <v>911</v>
      </c>
      <c r="H31" s="165" t="s">
        <v>287</v>
      </c>
      <c r="I31" s="167" t="s">
        <v>640</v>
      </c>
      <c r="J31" s="75" t="s">
        <v>641</v>
      </c>
      <c r="K31" s="144" t="s">
        <v>642</v>
      </c>
      <c r="L31" s="75" t="s">
        <v>1182</v>
      </c>
      <c r="M31" s="127" t="s">
        <v>236</v>
      </c>
      <c r="N31" s="75" t="s">
        <v>1141</v>
      </c>
      <c r="O31" s="165" t="s">
        <v>268</v>
      </c>
      <c r="P31" s="167" t="s">
        <v>693</v>
      </c>
      <c r="Q31" s="75" t="s">
        <v>694</v>
      </c>
      <c r="R31" s="168">
        <v>0.04</v>
      </c>
      <c r="S31" s="75" t="s">
        <v>1240</v>
      </c>
      <c r="T31" s="127" t="s">
        <v>264</v>
      </c>
      <c r="U31" s="75" t="s">
        <v>1241</v>
      </c>
      <c r="V31" s="165" t="s">
        <v>397</v>
      </c>
      <c r="W31" s="76" t="s">
        <v>29</v>
      </c>
      <c r="X31" s="83"/>
      <c r="Y31" s="193"/>
      <c r="Z31" s="83"/>
      <c r="AA31" s="192"/>
      <c r="AB31" s="83"/>
      <c r="AC31" s="192"/>
      <c r="AD31" s="83"/>
      <c r="AE31" s="83"/>
      <c r="AF31" s="191"/>
      <c r="AG31" s="83"/>
      <c r="AH31" s="192"/>
      <c r="AI31" s="83"/>
      <c r="AJ31" s="192"/>
      <c r="AK31" s="83"/>
    </row>
    <row r="32" spans="1:37">
      <c r="A32" s="163" t="s">
        <v>133</v>
      </c>
      <c r="B32" s="167" t="s">
        <v>646</v>
      </c>
      <c r="C32" s="75" t="s">
        <v>647</v>
      </c>
      <c r="D32" s="144" t="s">
        <v>648</v>
      </c>
      <c r="E32" s="75" t="s">
        <v>634</v>
      </c>
      <c r="F32" s="25">
        <v>0.16</v>
      </c>
      <c r="G32" s="75" t="s">
        <v>755</v>
      </c>
      <c r="H32" s="165" t="s">
        <v>940</v>
      </c>
      <c r="I32" s="167" t="s">
        <v>649</v>
      </c>
      <c r="J32" s="75" t="s">
        <v>650</v>
      </c>
      <c r="K32" s="168">
        <v>0.16</v>
      </c>
      <c r="L32" s="75" t="s">
        <v>641</v>
      </c>
      <c r="M32" s="127" t="s">
        <v>808</v>
      </c>
      <c r="N32" s="75" t="s">
        <v>650</v>
      </c>
      <c r="O32" s="165" t="s">
        <v>416</v>
      </c>
      <c r="P32" s="167" t="s">
        <v>703</v>
      </c>
      <c r="Q32" s="75" t="s">
        <v>555</v>
      </c>
      <c r="R32" s="168">
        <v>0.04</v>
      </c>
      <c r="S32" s="75" t="s">
        <v>909</v>
      </c>
      <c r="T32" s="127" t="s">
        <v>278</v>
      </c>
      <c r="U32" s="75" t="s">
        <v>560</v>
      </c>
      <c r="V32" s="165" t="s">
        <v>265</v>
      </c>
      <c r="W32" s="76" t="s">
        <v>30</v>
      </c>
      <c r="X32" s="83"/>
      <c r="Y32" s="193"/>
      <c r="Z32" s="83"/>
      <c r="AA32" s="192"/>
      <c r="AB32" s="83"/>
      <c r="AC32" s="192"/>
      <c r="AD32" s="83"/>
      <c r="AE32" s="83"/>
      <c r="AF32" s="191"/>
      <c r="AG32" s="83"/>
      <c r="AH32" s="192"/>
      <c r="AI32" s="83"/>
      <c r="AJ32" s="192"/>
      <c r="AK32" s="83"/>
    </row>
    <row r="33" spans="1:37">
      <c r="A33" s="163" t="s">
        <v>134</v>
      </c>
      <c r="B33" s="167" t="s">
        <v>622</v>
      </c>
      <c r="C33" s="75" t="s">
        <v>559</v>
      </c>
      <c r="D33" s="144" t="s">
        <v>635</v>
      </c>
      <c r="E33" s="75" t="s">
        <v>618</v>
      </c>
      <c r="F33" s="127" t="s">
        <v>292</v>
      </c>
      <c r="G33" s="75" t="s">
        <v>28</v>
      </c>
      <c r="H33" s="165" t="s">
        <v>360</v>
      </c>
      <c r="I33" s="167" t="s">
        <v>31</v>
      </c>
      <c r="J33" s="75" t="s">
        <v>81</v>
      </c>
      <c r="K33" s="144" t="s">
        <v>248</v>
      </c>
      <c r="L33" s="75" t="s">
        <v>616</v>
      </c>
      <c r="M33" s="127" t="s">
        <v>275</v>
      </c>
      <c r="N33" s="75" t="s">
        <v>31</v>
      </c>
      <c r="O33" s="165" t="s">
        <v>558</v>
      </c>
      <c r="P33" s="167" t="s">
        <v>581</v>
      </c>
      <c r="Q33" s="75" t="s">
        <v>617</v>
      </c>
      <c r="R33" s="144" t="s">
        <v>246</v>
      </c>
      <c r="S33" s="75" t="s">
        <v>620</v>
      </c>
      <c r="T33" s="25">
        <v>0</v>
      </c>
      <c r="U33" s="75" t="s">
        <v>82</v>
      </c>
      <c r="V33" s="165" t="s">
        <v>429</v>
      </c>
      <c r="W33" s="76" t="s">
        <v>31</v>
      </c>
      <c r="X33" s="83"/>
      <c r="Y33" s="193"/>
      <c r="Z33" s="83"/>
      <c r="AA33" s="192"/>
      <c r="AB33" s="83"/>
      <c r="AC33" s="192"/>
      <c r="AD33" s="83"/>
      <c r="AE33" s="83"/>
      <c r="AF33" s="191"/>
      <c r="AG33" s="83"/>
      <c r="AH33" s="192"/>
      <c r="AI33" s="83"/>
      <c r="AJ33" s="192"/>
      <c r="AK33" s="83"/>
    </row>
    <row r="34" spans="1:37">
      <c r="A34" s="163" t="s">
        <v>135</v>
      </c>
      <c r="B34" s="167" t="s">
        <v>614</v>
      </c>
      <c r="C34" s="75" t="s">
        <v>656</v>
      </c>
      <c r="D34" s="168">
        <v>0.02</v>
      </c>
      <c r="E34" s="75" t="s">
        <v>97</v>
      </c>
      <c r="F34" s="127" t="s">
        <v>296</v>
      </c>
      <c r="G34" s="126" t="s">
        <v>653</v>
      </c>
      <c r="H34" s="165" t="s">
        <v>1030</v>
      </c>
      <c r="I34" s="167" t="s">
        <v>25</v>
      </c>
      <c r="J34" s="75" t="s">
        <v>657</v>
      </c>
      <c r="K34" s="144" t="s">
        <v>385</v>
      </c>
      <c r="L34" s="75" t="s">
        <v>556</v>
      </c>
      <c r="M34" s="127" t="s">
        <v>261</v>
      </c>
      <c r="N34" s="75" t="s">
        <v>803</v>
      </c>
      <c r="O34" s="165">
        <v>0</v>
      </c>
      <c r="P34" s="167" t="s">
        <v>712</v>
      </c>
      <c r="Q34" s="75" t="s">
        <v>110</v>
      </c>
      <c r="R34" s="144" t="s">
        <v>296</v>
      </c>
      <c r="S34" s="75" t="s">
        <v>111</v>
      </c>
      <c r="T34" s="127" t="s">
        <v>822</v>
      </c>
      <c r="U34" s="75" t="s">
        <v>91</v>
      </c>
      <c r="V34" s="165" t="s">
        <v>285</v>
      </c>
      <c r="W34" s="76" t="s">
        <v>32</v>
      </c>
      <c r="X34" s="83"/>
      <c r="Y34" s="193"/>
      <c r="Z34" s="83"/>
      <c r="AA34" s="192"/>
      <c r="AB34" s="83"/>
      <c r="AC34" s="192"/>
      <c r="AD34" s="83"/>
      <c r="AE34" s="83"/>
      <c r="AF34" s="191"/>
      <c r="AG34" s="83"/>
      <c r="AH34" s="192"/>
      <c r="AI34" s="83"/>
      <c r="AJ34" s="192"/>
      <c r="AK34" s="83"/>
    </row>
    <row r="35" spans="1:37">
      <c r="A35" s="163" t="s">
        <v>136</v>
      </c>
      <c r="B35" s="167" t="s">
        <v>659</v>
      </c>
      <c r="C35" s="126">
        <v>1199</v>
      </c>
      <c r="D35" s="144" t="s">
        <v>399</v>
      </c>
      <c r="E35" s="126">
        <v>1352</v>
      </c>
      <c r="F35" s="127" t="s">
        <v>244</v>
      </c>
      <c r="G35" s="126">
        <v>1282</v>
      </c>
      <c r="H35" s="166">
        <v>0</v>
      </c>
      <c r="I35" s="167" t="s">
        <v>659</v>
      </c>
      <c r="J35" s="126">
        <v>1092</v>
      </c>
      <c r="K35" s="144" t="s">
        <v>236</v>
      </c>
      <c r="L35" s="75" t="s">
        <v>1242</v>
      </c>
      <c r="M35" s="127" t="s">
        <v>231</v>
      </c>
      <c r="N35" s="126" t="s">
        <v>659</v>
      </c>
      <c r="O35" s="165" t="s">
        <v>1243</v>
      </c>
      <c r="P35" s="167" t="s">
        <v>659</v>
      </c>
      <c r="Q35" s="75" t="s">
        <v>715</v>
      </c>
      <c r="R35" s="144" t="s">
        <v>467</v>
      </c>
      <c r="S35" s="75" t="s">
        <v>1244</v>
      </c>
      <c r="T35" s="127" t="s">
        <v>236</v>
      </c>
      <c r="U35" s="126" t="s">
        <v>715</v>
      </c>
      <c r="V35" s="165" t="s">
        <v>462</v>
      </c>
      <c r="W35" s="145">
        <v>1044</v>
      </c>
      <c r="X35" s="83"/>
      <c r="Y35" s="193"/>
      <c r="Z35" s="83"/>
      <c r="AA35" s="192"/>
      <c r="AB35" s="83"/>
      <c r="AC35" s="192"/>
      <c r="AD35" s="83"/>
      <c r="AE35" s="83"/>
      <c r="AF35" s="191"/>
      <c r="AG35" s="83"/>
      <c r="AH35" s="192"/>
      <c r="AI35" s="83"/>
      <c r="AJ35" s="192"/>
      <c r="AK35" s="83"/>
    </row>
    <row r="36" spans="1:37">
      <c r="A36" s="163" t="s">
        <v>498</v>
      </c>
      <c r="B36" s="164">
        <v>11809</v>
      </c>
      <c r="C36" s="126">
        <v>11922</v>
      </c>
      <c r="D36" s="168">
        <v>7.0000000000000007E-2</v>
      </c>
      <c r="E36" s="126">
        <v>11841</v>
      </c>
      <c r="F36" s="25">
        <v>0.13</v>
      </c>
      <c r="G36" s="126">
        <v>11931</v>
      </c>
      <c r="H36" s="166">
        <v>0.11</v>
      </c>
      <c r="I36" s="164">
        <v>11081</v>
      </c>
      <c r="J36" s="126">
        <v>11152</v>
      </c>
      <c r="K36" s="144" t="s">
        <v>662</v>
      </c>
      <c r="L36" s="126">
        <v>11257</v>
      </c>
      <c r="M36" s="127" t="s">
        <v>795</v>
      </c>
      <c r="N36" s="126">
        <v>11091</v>
      </c>
      <c r="O36" s="165" t="s">
        <v>702</v>
      </c>
      <c r="P36" s="164">
        <v>11648</v>
      </c>
      <c r="Q36" s="75" t="s">
        <v>719</v>
      </c>
      <c r="R36" s="144" t="s">
        <v>705</v>
      </c>
      <c r="S36" s="126">
        <v>11856</v>
      </c>
      <c r="T36" s="127" t="s">
        <v>261</v>
      </c>
      <c r="U36" s="126">
        <v>11649</v>
      </c>
      <c r="V36" s="165" t="s">
        <v>439</v>
      </c>
      <c r="W36" s="145">
        <v>11827</v>
      </c>
      <c r="X36" s="83"/>
      <c r="Y36" s="193"/>
      <c r="Z36" s="83"/>
      <c r="AA36" s="192"/>
      <c r="AB36" s="83"/>
      <c r="AC36" s="192"/>
      <c r="AD36" s="83"/>
      <c r="AE36" s="83"/>
      <c r="AF36" s="191"/>
      <c r="AG36" s="83"/>
      <c r="AH36" s="192"/>
      <c r="AI36" s="83"/>
      <c r="AJ36" s="192"/>
      <c r="AK36" s="83"/>
    </row>
    <row r="37" spans="1:37">
      <c r="A37" s="163" t="s">
        <v>137</v>
      </c>
      <c r="B37" s="167" t="s">
        <v>669</v>
      </c>
      <c r="C37" s="75" t="s">
        <v>670</v>
      </c>
      <c r="D37" s="144" t="s">
        <v>261</v>
      </c>
      <c r="E37" s="75" t="s">
        <v>1245</v>
      </c>
      <c r="F37" s="25">
        <v>0</v>
      </c>
      <c r="G37" s="75" t="s">
        <v>998</v>
      </c>
      <c r="H37" s="166">
        <v>0</v>
      </c>
      <c r="I37" s="167" t="s">
        <v>671</v>
      </c>
      <c r="J37" s="75" t="s">
        <v>672</v>
      </c>
      <c r="K37" s="144" t="s">
        <v>422</v>
      </c>
      <c r="L37" s="75" t="s">
        <v>1246</v>
      </c>
      <c r="M37" s="25">
        <v>0.11</v>
      </c>
      <c r="N37" s="75" t="s">
        <v>922</v>
      </c>
      <c r="O37" s="165" t="s">
        <v>553</v>
      </c>
      <c r="P37" s="167" t="s">
        <v>723</v>
      </c>
      <c r="Q37" s="75" t="s">
        <v>724</v>
      </c>
      <c r="R37" s="144" t="s">
        <v>278</v>
      </c>
      <c r="S37" s="75" t="s">
        <v>943</v>
      </c>
      <c r="T37" s="127" t="s">
        <v>232</v>
      </c>
      <c r="U37" s="75" t="s">
        <v>780</v>
      </c>
      <c r="V37" s="165" t="s">
        <v>429</v>
      </c>
      <c r="W37" s="76" t="s">
        <v>33</v>
      </c>
      <c r="X37" s="83"/>
      <c r="Y37" s="193"/>
      <c r="Z37" s="83"/>
      <c r="AA37" s="192"/>
      <c r="AB37" s="83"/>
      <c r="AC37" s="192"/>
      <c r="AD37" s="83"/>
      <c r="AE37" s="83"/>
      <c r="AF37" s="191"/>
      <c r="AG37" s="83"/>
      <c r="AH37" s="192"/>
      <c r="AI37" s="83"/>
      <c r="AJ37" s="192"/>
      <c r="AK37" s="83"/>
    </row>
    <row r="38" spans="1:37">
      <c r="A38" s="163" t="s">
        <v>138</v>
      </c>
      <c r="B38" s="167" t="s">
        <v>39</v>
      </c>
      <c r="C38" s="75" t="s">
        <v>674</v>
      </c>
      <c r="D38" s="144" t="s">
        <v>375</v>
      </c>
      <c r="E38" s="75" t="s">
        <v>45</v>
      </c>
      <c r="F38" s="127" t="s">
        <v>278</v>
      </c>
      <c r="G38" s="126" t="s">
        <v>74</v>
      </c>
      <c r="H38" s="166">
        <v>0</v>
      </c>
      <c r="I38" s="167" t="s">
        <v>38</v>
      </c>
      <c r="J38" s="75" t="s">
        <v>675</v>
      </c>
      <c r="K38" s="168">
        <v>0</v>
      </c>
      <c r="L38" s="75" t="s">
        <v>31</v>
      </c>
      <c r="M38" s="127" t="s">
        <v>235</v>
      </c>
      <c r="N38" s="126" t="s">
        <v>72</v>
      </c>
      <c r="O38" s="165" t="s">
        <v>545</v>
      </c>
      <c r="P38" s="167" t="s">
        <v>17</v>
      </c>
      <c r="Q38" s="75" t="s">
        <v>72</v>
      </c>
      <c r="R38" s="144" t="s">
        <v>468</v>
      </c>
      <c r="S38" s="75" t="s">
        <v>25</v>
      </c>
      <c r="T38" s="127" t="s">
        <v>296</v>
      </c>
      <c r="U38" s="126" t="s">
        <v>745</v>
      </c>
      <c r="V38" s="165" t="s">
        <v>678</v>
      </c>
      <c r="W38" s="76" t="s">
        <v>34</v>
      </c>
      <c r="X38" s="83"/>
      <c r="Y38" s="193"/>
      <c r="Z38" s="83"/>
      <c r="AA38" s="192"/>
      <c r="AB38" s="83"/>
      <c r="AC38" s="192"/>
      <c r="AD38" s="83"/>
      <c r="AE38" s="83"/>
      <c r="AF38" s="191"/>
      <c r="AG38" s="83"/>
      <c r="AH38" s="192"/>
      <c r="AI38" s="83"/>
      <c r="AJ38" s="192"/>
      <c r="AK38" s="83"/>
    </row>
    <row r="39" spans="1:37">
      <c r="A39" s="163" t="s">
        <v>139</v>
      </c>
      <c r="B39" s="164">
        <v>3429</v>
      </c>
      <c r="C39" s="126">
        <v>3485</v>
      </c>
      <c r="D39" s="144" t="s">
        <v>429</v>
      </c>
      <c r="E39" s="126">
        <v>3472</v>
      </c>
      <c r="F39" s="127" t="s">
        <v>474</v>
      </c>
      <c r="G39" s="126">
        <v>3432</v>
      </c>
      <c r="H39" s="166">
        <v>0.1</v>
      </c>
      <c r="I39" s="164">
        <v>3528</v>
      </c>
      <c r="J39" s="126">
        <v>3536</v>
      </c>
      <c r="K39" s="168">
        <v>0.19</v>
      </c>
      <c r="L39" s="126">
        <v>3597</v>
      </c>
      <c r="M39" s="127" t="s">
        <v>474</v>
      </c>
      <c r="N39" s="126">
        <v>3607</v>
      </c>
      <c r="O39" s="166">
        <v>0</v>
      </c>
      <c r="P39" s="164">
        <v>3506</v>
      </c>
      <c r="Q39" s="126">
        <v>3603</v>
      </c>
      <c r="R39" s="168">
        <v>0</v>
      </c>
      <c r="S39" s="126">
        <v>3526</v>
      </c>
      <c r="T39" s="127" t="s">
        <v>795</v>
      </c>
      <c r="U39" s="75" t="s">
        <v>1189</v>
      </c>
      <c r="V39" s="165" t="s">
        <v>256</v>
      </c>
      <c r="W39" s="145">
        <v>3568</v>
      </c>
      <c r="X39" s="83"/>
      <c r="Y39" s="193"/>
      <c r="Z39" s="83"/>
      <c r="AA39" s="192"/>
      <c r="AB39" s="83"/>
      <c r="AC39" s="192"/>
      <c r="AD39" s="83"/>
      <c r="AE39" s="83"/>
      <c r="AF39" s="191"/>
      <c r="AG39" s="83"/>
      <c r="AH39" s="192"/>
      <c r="AI39" s="83"/>
      <c r="AJ39" s="192"/>
      <c r="AK39" s="83"/>
    </row>
    <row r="40" spans="1:37">
      <c r="A40" s="163" t="s">
        <v>140</v>
      </c>
      <c r="B40" s="167" t="s">
        <v>10</v>
      </c>
      <c r="C40" s="75" t="s">
        <v>582</v>
      </c>
      <c r="D40" s="144" t="s">
        <v>680</v>
      </c>
      <c r="E40" s="75" t="s">
        <v>970</v>
      </c>
      <c r="F40" s="127" t="s">
        <v>970</v>
      </c>
      <c r="G40" s="75" t="s">
        <v>970</v>
      </c>
      <c r="H40" s="165" t="s">
        <v>970</v>
      </c>
      <c r="I40" s="167" t="s">
        <v>681</v>
      </c>
      <c r="J40" s="75" t="s">
        <v>109</v>
      </c>
      <c r="K40" s="144" t="s">
        <v>467</v>
      </c>
      <c r="L40" s="75" t="s">
        <v>970</v>
      </c>
      <c r="M40" s="127" t="s">
        <v>970</v>
      </c>
      <c r="N40" s="75" t="s">
        <v>970</v>
      </c>
      <c r="O40" s="165" t="s">
        <v>970</v>
      </c>
      <c r="P40" s="167" t="s">
        <v>23</v>
      </c>
      <c r="Q40" s="75" t="s">
        <v>732</v>
      </c>
      <c r="R40" s="168">
        <v>0.1</v>
      </c>
      <c r="S40" s="75" t="s">
        <v>970</v>
      </c>
      <c r="T40" s="127" t="s">
        <v>970</v>
      </c>
      <c r="U40" s="75" t="s">
        <v>970</v>
      </c>
      <c r="V40" s="165" t="s">
        <v>970</v>
      </c>
      <c r="W40" s="76" t="s">
        <v>35</v>
      </c>
      <c r="X40" s="83"/>
      <c r="Y40" s="193"/>
      <c r="Z40" s="83"/>
      <c r="AA40" s="192"/>
      <c r="AB40" s="83"/>
      <c r="AC40" s="192"/>
      <c r="AD40" s="83"/>
      <c r="AE40" s="83"/>
      <c r="AF40" s="191"/>
      <c r="AG40" s="83"/>
      <c r="AH40" s="192"/>
      <c r="AI40" s="83"/>
      <c r="AJ40" s="192"/>
      <c r="AK40" s="83"/>
    </row>
    <row r="41" spans="1:37">
      <c r="A41" s="163" t="s">
        <v>141</v>
      </c>
      <c r="B41" s="167" t="s">
        <v>45</v>
      </c>
      <c r="C41" s="75" t="s">
        <v>34</v>
      </c>
      <c r="D41" s="144" t="s">
        <v>685</v>
      </c>
      <c r="E41" s="75" t="s">
        <v>970</v>
      </c>
      <c r="F41" s="127" t="s">
        <v>970</v>
      </c>
      <c r="G41" s="75" t="s">
        <v>970</v>
      </c>
      <c r="H41" s="165" t="s">
        <v>970</v>
      </c>
      <c r="I41" s="167" t="s">
        <v>556</v>
      </c>
      <c r="J41" s="75" t="s">
        <v>72</v>
      </c>
      <c r="K41" s="144" t="s">
        <v>244</v>
      </c>
      <c r="L41" s="75" t="s">
        <v>970</v>
      </c>
      <c r="M41" s="127" t="s">
        <v>970</v>
      </c>
      <c r="N41" s="75" t="s">
        <v>970</v>
      </c>
      <c r="O41" s="165" t="s">
        <v>970</v>
      </c>
      <c r="P41" s="167" t="s">
        <v>21</v>
      </c>
      <c r="Q41" s="75" t="s">
        <v>557</v>
      </c>
      <c r="R41" s="144" t="s">
        <v>244</v>
      </c>
      <c r="S41" s="75" t="s">
        <v>970</v>
      </c>
      <c r="T41" s="127" t="s">
        <v>970</v>
      </c>
      <c r="U41" s="75" t="s">
        <v>970</v>
      </c>
      <c r="V41" s="165" t="s">
        <v>970</v>
      </c>
      <c r="W41" s="76" t="s">
        <v>36</v>
      </c>
      <c r="X41" s="83"/>
      <c r="Y41" s="193"/>
      <c r="Z41" s="83"/>
      <c r="AA41" s="192"/>
      <c r="AB41" s="83"/>
      <c r="AC41" s="192"/>
      <c r="AD41" s="83"/>
      <c r="AE41" s="83"/>
      <c r="AF41" s="191"/>
      <c r="AG41" s="83"/>
      <c r="AH41" s="192"/>
      <c r="AI41" s="83"/>
      <c r="AJ41" s="192"/>
      <c r="AK41" s="83"/>
    </row>
    <row r="42" spans="1:37">
      <c r="A42" s="163" t="s">
        <v>142</v>
      </c>
      <c r="B42" s="167" t="s">
        <v>111</v>
      </c>
      <c r="C42" s="75" t="s">
        <v>75</v>
      </c>
      <c r="D42" s="168">
        <v>7.0000000000000007E-2</v>
      </c>
      <c r="E42" s="75" t="s">
        <v>970</v>
      </c>
      <c r="F42" s="172" t="s">
        <v>970</v>
      </c>
      <c r="G42" s="75" t="s">
        <v>970</v>
      </c>
      <c r="H42" s="135" t="s">
        <v>970</v>
      </c>
      <c r="I42" s="167" t="s">
        <v>687</v>
      </c>
      <c r="J42" s="75" t="s">
        <v>674</v>
      </c>
      <c r="K42" s="144" t="s">
        <v>413</v>
      </c>
      <c r="L42" s="75" t="s">
        <v>970</v>
      </c>
      <c r="M42" s="172" t="s">
        <v>970</v>
      </c>
      <c r="N42" s="75" t="s">
        <v>970</v>
      </c>
      <c r="O42" s="135" t="s">
        <v>970</v>
      </c>
      <c r="P42" s="167" t="s">
        <v>99</v>
      </c>
      <c r="Q42" s="75" t="s">
        <v>19</v>
      </c>
      <c r="R42" s="144" t="s">
        <v>238</v>
      </c>
      <c r="S42" s="75" t="s">
        <v>970</v>
      </c>
      <c r="T42" s="172" t="s">
        <v>970</v>
      </c>
      <c r="U42" s="75" t="s">
        <v>970</v>
      </c>
      <c r="V42" s="135" t="s">
        <v>970</v>
      </c>
      <c r="W42" s="76" t="s">
        <v>38</v>
      </c>
      <c r="X42" s="83"/>
      <c r="Y42" s="193"/>
      <c r="Z42" s="83"/>
      <c r="AA42" s="192"/>
      <c r="AB42" s="83"/>
      <c r="AC42" s="192"/>
      <c r="AD42" s="83"/>
      <c r="AE42" s="83"/>
      <c r="AF42" s="191"/>
      <c r="AG42" s="83"/>
      <c r="AH42" s="192"/>
      <c r="AI42" s="83"/>
      <c r="AJ42" s="192"/>
      <c r="AK42" s="83"/>
    </row>
    <row r="43" spans="1:37">
      <c r="A43" s="163" t="s">
        <v>1034</v>
      </c>
      <c r="B43" s="167" t="s">
        <v>897</v>
      </c>
      <c r="C43" s="75" t="s">
        <v>970</v>
      </c>
      <c r="D43" s="168" t="s">
        <v>970</v>
      </c>
      <c r="E43" s="75" t="s">
        <v>681</v>
      </c>
      <c r="F43" s="25">
        <v>0.09</v>
      </c>
      <c r="G43" s="75" t="s">
        <v>970</v>
      </c>
      <c r="H43" s="135" t="s">
        <v>970</v>
      </c>
      <c r="I43" s="167" t="s">
        <v>13</v>
      </c>
      <c r="J43" s="75" t="s">
        <v>970</v>
      </c>
      <c r="K43" s="144" t="s">
        <v>970</v>
      </c>
      <c r="L43" s="75" t="s">
        <v>109</v>
      </c>
      <c r="M43" s="127" t="s">
        <v>795</v>
      </c>
      <c r="N43" s="75" t="s">
        <v>970</v>
      </c>
      <c r="O43" s="135" t="s">
        <v>970</v>
      </c>
      <c r="P43" s="167" t="s">
        <v>954</v>
      </c>
      <c r="Q43" s="75" t="s">
        <v>970</v>
      </c>
      <c r="R43" s="144" t="s">
        <v>970</v>
      </c>
      <c r="S43" s="75" t="s">
        <v>897</v>
      </c>
      <c r="T43" s="127" t="s">
        <v>248</v>
      </c>
      <c r="U43" s="75" t="s">
        <v>970</v>
      </c>
      <c r="V43" s="135" t="s">
        <v>970</v>
      </c>
      <c r="W43" s="76" t="s">
        <v>87</v>
      </c>
      <c r="X43" s="83"/>
      <c r="Y43" s="193"/>
      <c r="Z43" s="83"/>
      <c r="AA43" s="192"/>
      <c r="AB43" s="83"/>
      <c r="AC43" s="192"/>
      <c r="AD43" s="83"/>
      <c r="AE43" s="83"/>
      <c r="AF43" s="191"/>
      <c r="AG43" s="83"/>
      <c r="AH43" s="192"/>
      <c r="AI43" s="83"/>
      <c r="AJ43" s="192"/>
      <c r="AK43" s="83"/>
    </row>
    <row r="44" spans="1:37" ht="17" thickBot="1">
      <c r="A44" s="173" t="s">
        <v>1230</v>
      </c>
      <c r="B44" s="202" t="s">
        <v>733</v>
      </c>
      <c r="C44" s="80" t="s">
        <v>970</v>
      </c>
      <c r="D44" s="201" t="s">
        <v>970</v>
      </c>
      <c r="E44" s="80" t="s">
        <v>112</v>
      </c>
      <c r="F44" s="251" t="s">
        <v>244</v>
      </c>
      <c r="G44" s="80" t="s">
        <v>970</v>
      </c>
      <c r="H44" s="177" t="s">
        <v>970</v>
      </c>
      <c r="I44" s="202" t="s">
        <v>809</v>
      </c>
      <c r="J44" s="80" t="s">
        <v>970</v>
      </c>
      <c r="K44" s="175" t="s">
        <v>970</v>
      </c>
      <c r="L44" s="80" t="s">
        <v>35</v>
      </c>
      <c r="M44" s="251" t="s">
        <v>261</v>
      </c>
      <c r="N44" s="80" t="s">
        <v>970</v>
      </c>
      <c r="O44" s="177" t="s">
        <v>970</v>
      </c>
      <c r="P44" s="202" t="s">
        <v>850</v>
      </c>
      <c r="Q44" s="80" t="s">
        <v>970</v>
      </c>
      <c r="R44" s="175" t="s">
        <v>970</v>
      </c>
      <c r="S44" s="80" t="s">
        <v>10</v>
      </c>
      <c r="T44" s="251" t="s">
        <v>286</v>
      </c>
      <c r="U44" s="80" t="s">
        <v>970</v>
      </c>
      <c r="V44" s="177" t="s">
        <v>970</v>
      </c>
      <c r="W44" s="76" t="s">
        <v>99</v>
      </c>
      <c r="X44" s="83"/>
      <c r="Y44" s="193"/>
      <c r="Z44" s="83"/>
      <c r="AA44" s="192"/>
      <c r="AB44" s="83"/>
      <c r="AC44" s="192"/>
      <c r="AD44" s="83"/>
      <c r="AE44" s="83"/>
      <c r="AF44" s="191"/>
      <c r="AG44" s="83"/>
      <c r="AH44" s="192"/>
      <c r="AI44" s="83"/>
      <c r="AJ44" s="192"/>
      <c r="AK44" s="83"/>
    </row>
    <row r="45" spans="1:37" ht="18" thickTop="1" thickBot="1">
      <c r="A45" s="302" t="s">
        <v>973</v>
      </c>
      <c r="B45" s="225"/>
      <c r="C45" s="226" t="s">
        <v>1171</v>
      </c>
      <c r="D45" s="227"/>
      <c r="E45" s="181" t="s">
        <v>1247</v>
      </c>
      <c r="F45" s="182"/>
      <c r="G45" s="181" t="s">
        <v>1248</v>
      </c>
      <c r="H45" s="183"/>
      <c r="I45" s="225"/>
      <c r="J45" s="226" t="s">
        <v>1249</v>
      </c>
      <c r="K45" s="227"/>
      <c r="L45" s="181" t="s">
        <v>1250</v>
      </c>
      <c r="M45" s="182"/>
      <c r="N45" s="181" t="s">
        <v>1251</v>
      </c>
      <c r="O45" s="183"/>
      <c r="P45" s="225"/>
      <c r="Q45" s="226" t="s">
        <v>1252</v>
      </c>
      <c r="R45" s="227"/>
      <c r="S45" s="181" t="s">
        <v>1073</v>
      </c>
      <c r="T45" s="182"/>
      <c r="U45" s="181" t="s">
        <v>1253</v>
      </c>
      <c r="V45" s="183"/>
      <c r="W45" s="215"/>
      <c r="X45" s="83"/>
      <c r="Y45" s="193"/>
      <c r="Z45" s="83"/>
      <c r="AA45" s="192"/>
      <c r="AB45" s="83"/>
      <c r="AC45" s="192"/>
      <c r="AD45" s="83"/>
      <c r="AE45" s="83"/>
      <c r="AF45" s="191"/>
      <c r="AG45" s="83"/>
      <c r="AH45" s="192"/>
      <c r="AI45" s="83"/>
      <c r="AJ45" s="192"/>
      <c r="AK45" s="83"/>
    </row>
    <row r="46" spans="1:37" ht="17" thickBot="1">
      <c r="A46" s="190"/>
      <c r="B46" s="83"/>
      <c r="C46" s="83"/>
      <c r="D46" s="191"/>
      <c r="E46" s="83"/>
      <c r="F46" s="192"/>
      <c r="G46" s="83"/>
      <c r="H46" s="192"/>
      <c r="I46" s="83"/>
      <c r="J46" s="83"/>
      <c r="K46" s="191"/>
      <c r="L46" s="83"/>
      <c r="M46" s="192"/>
      <c r="N46" s="83"/>
      <c r="O46" s="192"/>
      <c r="P46" s="83"/>
      <c r="Q46" s="83"/>
      <c r="R46" s="191"/>
      <c r="S46" s="83"/>
      <c r="T46" s="192"/>
      <c r="U46" s="83"/>
      <c r="V46" s="192"/>
      <c r="W46" s="83"/>
      <c r="X46" s="83"/>
      <c r="Y46" s="193"/>
      <c r="Z46" s="83"/>
      <c r="AA46" s="192"/>
      <c r="AB46" s="83"/>
      <c r="AC46" s="192"/>
      <c r="AD46" s="83"/>
      <c r="AE46" s="83"/>
      <c r="AF46" s="191"/>
      <c r="AG46" s="83"/>
      <c r="AH46" s="192"/>
      <c r="AI46" s="83"/>
      <c r="AJ46" s="192"/>
      <c r="AK46" s="83"/>
    </row>
    <row r="47" spans="1:37">
      <c r="A47" s="146" t="s">
        <v>67</v>
      </c>
      <c r="B47" s="100" t="s">
        <v>160</v>
      </c>
      <c r="C47" s="147"/>
      <c r="D47" s="147"/>
      <c r="E47" s="147"/>
      <c r="F47" s="147"/>
      <c r="G47" s="147"/>
      <c r="H47" s="148"/>
      <c r="I47" s="100" t="s">
        <v>161</v>
      </c>
      <c r="J47" s="147"/>
      <c r="K47" s="147"/>
      <c r="L47" s="147"/>
      <c r="M47" s="147"/>
      <c r="N47" s="147"/>
      <c r="O47" s="148"/>
      <c r="P47" s="194" t="s">
        <v>143</v>
      </c>
    </row>
    <row r="48" spans="1:37">
      <c r="A48" s="150"/>
      <c r="B48" s="104"/>
      <c r="C48" s="96"/>
      <c r="D48" s="96"/>
      <c r="E48" s="96"/>
      <c r="F48" s="96"/>
      <c r="G48" s="96"/>
      <c r="H48" s="151"/>
      <c r="I48" s="104"/>
      <c r="J48" s="96"/>
      <c r="K48" s="96"/>
      <c r="L48" s="96"/>
      <c r="M48" s="96"/>
      <c r="N48" s="96"/>
      <c r="O48" s="151"/>
      <c r="P48" s="195"/>
    </row>
    <row r="49" spans="1:16">
      <c r="A49" s="153"/>
      <c r="B49" s="154" t="s">
        <v>165</v>
      </c>
      <c r="C49" s="89"/>
      <c r="D49" s="89"/>
      <c r="E49" s="89"/>
      <c r="F49" s="89"/>
      <c r="G49" s="89"/>
      <c r="H49" s="155"/>
      <c r="I49" s="154" t="s">
        <v>166</v>
      </c>
      <c r="J49" s="89"/>
      <c r="K49" s="89"/>
      <c r="L49" s="89"/>
      <c r="M49" s="89"/>
      <c r="N49" s="89"/>
      <c r="O49" s="155"/>
      <c r="P49" s="195"/>
    </row>
    <row r="50" spans="1:16">
      <c r="A50" s="156" t="s">
        <v>128</v>
      </c>
      <c r="B50" s="157" t="s">
        <v>0</v>
      </c>
      <c r="C50" s="160" t="s">
        <v>506</v>
      </c>
      <c r="D50" s="159" t="s">
        <v>949</v>
      </c>
      <c r="E50" s="160" t="s">
        <v>508</v>
      </c>
      <c r="F50" s="159" t="s">
        <v>950</v>
      </c>
      <c r="G50" s="160" t="s">
        <v>509</v>
      </c>
      <c r="H50" s="161" t="s">
        <v>951</v>
      </c>
      <c r="I50" s="157" t="s">
        <v>0</v>
      </c>
      <c r="J50" s="160" t="s">
        <v>506</v>
      </c>
      <c r="K50" s="159" t="s">
        <v>949</v>
      </c>
      <c r="L50" s="160" t="s">
        <v>508</v>
      </c>
      <c r="M50" s="159" t="s">
        <v>950</v>
      </c>
      <c r="N50" s="160" t="s">
        <v>509</v>
      </c>
      <c r="O50" s="161" t="s">
        <v>951</v>
      </c>
      <c r="P50" s="196"/>
    </row>
    <row r="51" spans="1:16">
      <c r="A51" s="163" t="s">
        <v>130</v>
      </c>
      <c r="B51" s="164">
        <v>7671</v>
      </c>
      <c r="C51" s="126">
        <v>7713</v>
      </c>
      <c r="D51" s="144" t="s">
        <v>399</v>
      </c>
      <c r="E51" s="126">
        <v>7696</v>
      </c>
      <c r="F51" s="127" t="s">
        <v>420</v>
      </c>
      <c r="G51" s="126">
        <v>7736</v>
      </c>
      <c r="H51" s="165">
        <v>0.15</v>
      </c>
      <c r="I51" s="164">
        <v>6101</v>
      </c>
      <c r="J51" s="126">
        <v>6913</v>
      </c>
      <c r="K51" s="144" t="s">
        <v>256</v>
      </c>
      <c r="L51" s="126">
        <v>6779</v>
      </c>
      <c r="M51" s="127" t="s">
        <v>232</v>
      </c>
      <c r="N51" s="126">
        <v>6823</v>
      </c>
      <c r="O51" s="165" t="s">
        <v>244</v>
      </c>
      <c r="P51" s="145">
        <v>8209</v>
      </c>
    </row>
    <row r="52" spans="1:16">
      <c r="A52" s="163" t="s">
        <v>497</v>
      </c>
      <c r="B52" s="164">
        <v>-5165</v>
      </c>
      <c r="C52" s="126">
        <v>-5173</v>
      </c>
      <c r="D52" s="144" t="s">
        <v>288</v>
      </c>
      <c r="E52" s="75" t="s">
        <v>1254</v>
      </c>
      <c r="F52" s="127" t="s">
        <v>245</v>
      </c>
      <c r="G52" s="126">
        <v>-5168</v>
      </c>
      <c r="H52" s="165" t="s">
        <v>680</v>
      </c>
      <c r="I52" s="164">
        <v>-5711</v>
      </c>
      <c r="J52" s="126">
        <v>-5112</v>
      </c>
      <c r="K52" s="144" t="s">
        <v>244</v>
      </c>
      <c r="L52" s="126">
        <v>-5316</v>
      </c>
      <c r="M52" s="127" t="s">
        <v>236</v>
      </c>
      <c r="N52" s="75" t="s">
        <v>1255</v>
      </c>
      <c r="O52" s="165" t="s">
        <v>256</v>
      </c>
      <c r="P52" s="76" t="s">
        <v>550</v>
      </c>
    </row>
    <row r="53" spans="1:16">
      <c r="A53" s="163" t="s">
        <v>551</v>
      </c>
      <c r="B53" s="167" t="s">
        <v>583</v>
      </c>
      <c r="C53" s="75" t="s">
        <v>570</v>
      </c>
      <c r="D53" s="144" t="s">
        <v>615</v>
      </c>
      <c r="E53" s="75" t="s">
        <v>583</v>
      </c>
      <c r="F53" s="127" t="s">
        <v>988</v>
      </c>
      <c r="G53" s="75" t="s">
        <v>583</v>
      </c>
      <c r="H53" s="165" t="s">
        <v>295</v>
      </c>
      <c r="I53" s="167" t="s">
        <v>61</v>
      </c>
      <c r="J53" s="75" t="s">
        <v>571</v>
      </c>
      <c r="K53" s="168">
        <v>0.04</v>
      </c>
      <c r="L53" s="75" t="s">
        <v>1256</v>
      </c>
      <c r="M53" s="127" t="s">
        <v>271</v>
      </c>
      <c r="N53" s="75" t="s">
        <v>872</v>
      </c>
      <c r="O53" s="165" t="s">
        <v>433</v>
      </c>
      <c r="P53" s="76" t="s">
        <v>11</v>
      </c>
    </row>
    <row r="54" spans="1:16">
      <c r="A54" s="163" t="s">
        <v>132</v>
      </c>
      <c r="B54" s="167" t="s">
        <v>570</v>
      </c>
      <c r="C54" s="75" t="s">
        <v>695</v>
      </c>
      <c r="D54" s="144">
        <v>0.17</v>
      </c>
      <c r="E54" s="75" t="s">
        <v>570</v>
      </c>
      <c r="F54" s="127" t="s">
        <v>705</v>
      </c>
      <c r="G54" s="75" t="s">
        <v>820</v>
      </c>
      <c r="H54" s="165" t="s">
        <v>299</v>
      </c>
      <c r="I54" s="167" t="s">
        <v>696</v>
      </c>
      <c r="J54" s="75" t="s">
        <v>697</v>
      </c>
      <c r="K54" s="144" t="s">
        <v>236</v>
      </c>
      <c r="L54" s="75" t="s">
        <v>588</v>
      </c>
      <c r="M54" s="127" t="s">
        <v>279</v>
      </c>
      <c r="N54" s="75" t="s">
        <v>911</v>
      </c>
      <c r="O54" s="165" t="s">
        <v>236</v>
      </c>
      <c r="P54" s="76" t="s">
        <v>29</v>
      </c>
    </row>
    <row r="55" spans="1:16">
      <c r="A55" s="163" t="s">
        <v>133</v>
      </c>
      <c r="B55" s="167" t="s">
        <v>704</v>
      </c>
      <c r="C55" s="75" t="s">
        <v>114</v>
      </c>
      <c r="D55" s="144" t="s">
        <v>705</v>
      </c>
      <c r="E55" s="75" t="s">
        <v>697</v>
      </c>
      <c r="F55" s="25">
        <v>0.09</v>
      </c>
      <c r="G55" s="75" t="s">
        <v>697</v>
      </c>
      <c r="H55" s="165" t="s">
        <v>565</v>
      </c>
      <c r="I55" s="167" t="s">
        <v>649</v>
      </c>
      <c r="J55" s="75" t="s">
        <v>706</v>
      </c>
      <c r="K55" s="144" t="s">
        <v>707</v>
      </c>
      <c r="L55" s="75" t="s">
        <v>640</v>
      </c>
      <c r="M55" s="127" t="s">
        <v>808</v>
      </c>
      <c r="N55" s="75" t="s">
        <v>44</v>
      </c>
      <c r="O55" s="165" t="s">
        <v>372</v>
      </c>
      <c r="P55" s="76" t="s">
        <v>30</v>
      </c>
    </row>
    <row r="56" spans="1:16">
      <c r="A56" s="163" t="s">
        <v>134</v>
      </c>
      <c r="B56" s="167" t="s">
        <v>616</v>
      </c>
      <c r="C56" s="75" t="s">
        <v>651</v>
      </c>
      <c r="D56" s="168">
        <v>0</v>
      </c>
      <c r="E56" s="75" t="s">
        <v>616</v>
      </c>
      <c r="F56" s="127" t="s">
        <v>399</v>
      </c>
      <c r="G56" s="75" t="s">
        <v>81</v>
      </c>
      <c r="H56" s="165" t="s">
        <v>425</v>
      </c>
      <c r="I56" s="167" t="s">
        <v>35</v>
      </c>
      <c r="J56" s="75" t="s">
        <v>18</v>
      </c>
      <c r="K56" s="144" t="s">
        <v>266</v>
      </c>
      <c r="L56" s="75" t="s">
        <v>710</v>
      </c>
      <c r="M56" s="25">
        <v>0</v>
      </c>
      <c r="N56" s="75" t="s">
        <v>4</v>
      </c>
      <c r="O56" s="165" t="s">
        <v>425</v>
      </c>
      <c r="P56" s="76" t="s">
        <v>31</v>
      </c>
    </row>
    <row r="57" spans="1:16">
      <c r="A57" s="163" t="s">
        <v>135</v>
      </c>
      <c r="B57" s="167" t="s">
        <v>76</v>
      </c>
      <c r="C57" s="75" t="s">
        <v>14</v>
      </c>
      <c r="D57" s="144" t="s">
        <v>702</v>
      </c>
      <c r="E57" s="75" t="s">
        <v>574</v>
      </c>
      <c r="F57" s="127" t="s">
        <v>236</v>
      </c>
      <c r="G57" s="75" t="s">
        <v>622</v>
      </c>
      <c r="H57" s="165" t="s">
        <v>1257</v>
      </c>
      <c r="I57" s="167" t="s">
        <v>85</v>
      </c>
      <c r="J57" s="75" t="s">
        <v>686</v>
      </c>
      <c r="K57" s="144" t="s">
        <v>713</v>
      </c>
      <c r="L57" s="75" t="s">
        <v>590</v>
      </c>
      <c r="M57" s="127" t="s">
        <v>547</v>
      </c>
      <c r="N57" s="75" t="s">
        <v>556</v>
      </c>
      <c r="O57" s="165" t="s">
        <v>1124</v>
      </c>
      <c r="P57" s="76" t="s">
        <v>32</v>
      </c>
    </row>
    <row r="58" spans="1:16">
      <c r="A58" s="163" t="s">
        <v>136</v>
      </c>
      <c r="B58" s="167" t="s">
        <v>659</v>
      </c>
      <c r="C58" s="75" t="s">
        <v>716</v>
      </c>
      <c r="D58" s="144" t="s">
        <v>244</v>
      </c>
      <c r="E58" s="75" t="s">
        <v>1258</v>
      </c>
      <c r="F58" s="127" t="s">
        <v>642</v>
      </c>
      <c r="G58" s="126" t="s">
        <v>1259</v>
      </c>
      <c r="H58" s="166">
        <v>0.01</v>
      </c>
      <c r="I58" s="167" t="s">
        <v>659</v>
      </c>
      <c r="J58" s="75" t="s">
        <v>717</v>
      </c>
      <c r="K58" s="144" t="s">
        <v>250</v>
      </c>
      <c r="L58" s="75" t="s">
        <v>1260</v>
      </c>
      <c r="M58" s="127" t="s">
        <v>549</v>
      </c>
      <c r="N58" s="126" t="s">
        <v>1261</v>
      </c>
      <c r="O58" s="165" t="s">
        <v>1118</v>
      </c>
      <c r="P58" s="145">
        <v>1044</v>
      </c>
    </row>
    <row r="59" spans="1:16">
      <c r="A59" s="163" t="s">
        <v>498</v>
      </c>
      <c r="B59" s="164">
        <v>11807</v>
      </c>
      <c r="C59" s="126">
        <v>11834</v>
      </c>
      <c r="D59" s="144" t="s">
        <v>642</v>
      </c>
      <c r="E59" s="126">
        <v>11797</v>
      </c>
      <c r="F59" s="127" t="s">
        <v>257</v>
      </c>
      <c r="G59" s="126">
        <v>11824</v>
      </c>
      <c r="H59" s="165" t="s">
        <v>273</v>
      </c>
      <c r="I59" s="167" t="s">
        <v>720</v>
      </c>
      <c r="J59" s="126">
        <v>10893</v>
      </c>
      <c r="K59" s="144" t="s">
        <v>721</v>
      </c>
      <c r="L59" s="126">
        <v>11122</v>
      </c>
      <c r="M59" s="127" t="s">
        <v>258</v>
      </c>
      <c r="N59" s="126">
        <v>10933</v>
      </c>
      <c r="O59" s="165" t="s">
        <v>1001</v>
      </c>
      <c r="P59" s="145">
        <v>11827</v>
      </c>
    </row>
    <row r="60" spans="1:16">
      <c r="A60" s="163" t="s">
        <v>137</v>
      </c>
      <c r="B60" s="167" t="s">
        <v>725</v>
      </c>
      <c r="C60" s="75" t="s">
        <v>122</v>
      </c>
      <c r="D60" s="144" t="s">
        <v>244</v>
      </c>
      <c r="E60" s="75" t="s">
        <v>1262</v>
      </c>
      <c r="F60" s="127" t="s">
        <v>236</v>
      </c>
      <c r="G60" s="75" t="s">
        <v>1228</v>
      </c>
      <c r="H60" s="166">
        <v>0.03</v>
      </c>
      <c r="I60" s="167" t="s">
        <v>726</v>
      </c>
      <c r="J60" s="75" t="s">
        <v>727</v>
      </c>
      <c r="K60" s="144" t="s">
        <v>244</v>
      </c>
      <c r="L60" s="75" t="s">
        <v>694</v>
      </c>
      <c r="M60" s="127" t="s">
        <v>256</v>
      </c>
      <c r="N60" s="75" t="s">
        <v>751</v>
      </c>
      <c r="O60" s="165" t="s">
        <v>244</v>
      </c>
      <c r="P60" s="76" t="s">
        <v>33</v>
      </c>
    </row>
    <row r="61" spans="1:16">
      <c r="A61" s="163" t="s">
        <v>138</v>
      </c>
      <c r="B61" s="167" t="s">
        <v>81</v>
      </c>
      <c r="C61" s="75" t="s">
        <v>39</v>
      </c>
      <c r="D61" s="144" t="s">
        <v>611</v>
      </c>
      <c r="E61" s="75" t="s">
        <v>72</v>
      </c>
      <c r="F61" s="127" t="s">
        <v>413</v>
      </c>
      <c r="G61" s="126" t="s">
        <v>626</v>
      </c>
      <c r="H61" s="166">
        <v>0</v>
      </c>
      <c r="I61" s="167" t="s">
        <v>17</v>
      </c>
      <c r="J61" s="75" t="s">
        <v>579</v>
      </c>
      <c r="K61" s="168">
        <v>0</v>
      </c>
      <c r="L61" s="75" t="s">
        <v>17</v>
      </c>
      <c r="M61" s="25">
        <v>0.02</v>
      </c>
      <c r="N61" s="126" t="s">
        <v>17</v>
      </c>
      <c r="O61" s="165" t="s">
        <v>422</v>
      </c>
      <c r="P61" s="76" t="s">
        <v>34</v>
      </c>
    </row>
    <row r="62" spans="1:16">
      <c r="A62" s="163" t="s">
        <v>139</v>
      </c>
      <c r="B62" s="164">
        <v>3467</v>
      </c>
      <c r="C62" s="126">
        <v>3504</v>
      </c>
      <c r="D62" s="144" t="s">
        <v>259</v>
      </c>
      <c r="E62" s="126">
        <v>3506</v>
      </c>
      <c r="F62" s="127" t="s">
        <v>261</v>
      </c>
      <c r="G62" s="75" t="s">
        <v>1263</v>
      </c>
      <c r="H62" s="166">
        <v>0.13</v>
      </c>
      <c r="I62" s="164">
        <v>3574</v>
      </c>
      <c r="J62" s="126">
        <v>3537</v>
      </c>
      <c r="K62" s="144" t="s">
        <v>265</v>
      </c>
      <c r="L62" s="126">
        <v>3586</v>
      </c>
      <c r="M62" s="127" t="s">
        <v>258</v>
      </c>
      <c r="N62" s="126">
        <v>3557</v>
      </c>
      <c r="O62" s="166">
        <v>0.1</v>
      </c>
      <c r="P62" s="145">
        <v>3568</v>
      </c>
    </row>
    <row r="63" spans="1:16">
      <c r="A63" s="163" t="s">
        <v>140</v>
      </c>
      <c r="B63" s="167" t="s">
        <v>43</v>
      </c>
      <c r="C63" s="75" t="s">
        <v>58</v>
      </c>
      <c r="D63" s="144" t="s">
        <v>702</v>
      </c>
      <c r="E63" s="75" t="s">
        <v>970</v>
      </c>
      <c r="F63" s="127" t="s">
        <v>970</v>
      </c>
      <c r="G63" s="75" t="s">
        <v>970</v>
      </c>
      <c r="H63" s="165" t="s">
        <v>970</v>
      </c>
      <c r="I63" s="167" t="s">
        <v>733</v>
      </c>
      <c r="J63" s="75" t="s">
        <v>92</v>
      </c>
      <c r="K63" s="144" t="s">
        <v>413</v>
      </c>
      <c r="L63" s="75" t="s">
        <v>970</v>
      </c>
      <c r="M63" s="127" t="s">
        <v>970</v>
      </c>
      <c r="N63" s="75" t="s">
        <v>970</v>
      </c>
      <c r="O63" s="165" t="s">
        <v>970</v>
      </c>
      <c r="P63" s="76" t="s">
        <v>35</v>
      </c>
    </row>
    <row r="64" spans="1:16">
      <c r="A64" s="163" t="s">
        <v>141</v>
      </c>
      <c r="B64" s="167" t="s">
        <v>677</v>
      </c>
      <c r="C64" s="75" t="s">
        <v>625</v>
      </c>
      <c r="D64" s="144" t="s">
        <v>372</v>
      </c>
      <c r="E64" s="75" t="s">
        <v>970</v>
      </c>
      <c r="F64" s="127" t="s">
        <v>970</v>
      </c>
      <c r="G64" s="75" t="s">
        <v>970</v>
      </c>
      <c r="H64" s="165" t="s">
        <v>970</v>
      </c>
      <c r="I64" s="167" t="s">
        <v>38</v>
      </c>
      <c r="J64" s="75" t="s">
        <v>617</v>
      </c>
      <c r="K64" s="144" t="s">
        <v>735</v>
      </c>
      <c r="L64" s="75" t="s">
        <v>970</v>
      </c>
      <c r="M64" s="127" t="s">
        <v>970</v>
      </c>
      <c r="N64" s="75" t="s">
        <v>970</v>
      </c>
      <c r="O64" s="165" t="s">
        <v>970</v>
      </c>
      <c r="P64" s="76" t="s">
        <v>36</v>
      </c>
    </row>
    <row r="65" spans="1:35">
      <c r="A65" s="163" t="s">
        <v>142</v>
      </c>
      <c r="B65" s="167" t="s">
        <v>111</v>
      </c>
      <c r="C65" s="75" t="s">
        <v>111</v>
      </c>
      <c r="D65" s="168">
        <v>0.1</v>
      </c>
      <c r="E65" s="75" t="s">
        <v>970</v>
      </c>
      <c r="F65" s="172" t="s">
        <v>970</v>
      </c>
      <c r="G65" s="75" t="s">
        <v>970</v>
      </c>
      <c r="H65" s="135" t="s">
        <v>970</v>
      </c>
      <c r="I65" s="167" t="s">
        <v>79</v>
      </c>
      <c r="J65" s="75" t="s">
        <v>710</v>
      </c>
      <c r="K65" s="168">
        <v>0</v>
      </c>
      <c r="L65" s="75" t="s">
        <v>970</v>
      </c>
      <c r="M65" s="172" t="s">
        <v>970</v>
      </c>
      <c r="N65" s="75" t="s">
        <v>970</v>
      </c>
      <c r="O65" s="135" t="s">
        <v>970</v>
      </c>
      <c r="P65" s="76" t="s">
        <v>38</v>
      </c>
    </row>
    <row r="66" spans="1:35">
      <c r="A66" s="163" t="s">
        <v>1034</v>
      </c>
      <c r="B66" s="167" t="s">
        <v>783</v>
      </c>
      <c r="C66" s="75" t="s">
        <v>970</v>
      </c>
      <c r="D66" s="144" t="s">
        <v>970</v>
      </c>
      <c r="E66" s="75" t="s">
        <v>109</v>
      </c>
      <c r="F66" s="127" t="s">
        <v>250</v>
      </c>
      <c r="G66" s="75" t="s">
        <v>970</v>
      </c>
      <c r="H66" s="135" t="s">
        <v>970</v>
      </c>
      <c r="I66" s="167" t="s">
        <v>954</v>
      </c>
      <c r="J66" s="75" t="s">
        <v>970</v>
      </c>
      <c r="K66" s="144" t="s">
        <v>970</v>
      </c>
      <c r="L66" s="75" t="s">
        <v>783</v>
      </c>
      <c r="M66" s="127" t="s">
        <v>422</v>
      </c>
      <c r="N66" s="75" t="s">
        <v>970</v>
      </c>
      <c r="O66" s="135" t="s">
        <v>970</v>
      </c>
      <c r="P66" s="167" t="s">
        <v>87</v>
      </c>
    </row>
    <row r="67" spans="1:35" s="178" customFormat="1" ht="17" thickBot="1">
      <c r="A67" s="173" t="s">
        <v>1230</v>
      </c>
      <c r="B67" s="202" t="s">
        <v>809</v>
      </c>
      <c r="C67" s="80" t="s">
        <v>970</v>
      </c>
      <c r="D67" s="175" t="s">
        <v>970</v>
      </c>
      <c r="E67" s="80" t="s">
        <v>19</v>
      </c>
      <c r="F67" s="251" t="s">
        <v>230</v>
      </c>
      <c r="G67" s="80" t="s">
        <v>970</v>
      </c>
      <c r="H67" s="177" t="s">
        <v>970</v>
      </c>
      <c r="I67" s="202" t="s">
        <v>42</v>
      </c>
      <c r="J67" s="80" t="s">
        <v>970</v>
      </c>
      <c r="K67" s="175" t="s">
        <v>970</v>
      </c>
      <c r="L67" s="80" t="s">
        <v>95</v>
      </c>
      <c r="M67" s="251" t="s">
        <v>545</v>
      </c>
      <c r="N67" s="80" t="s">
        <v>970</v>
      </c>
      <c r="O67" s="177" t="s">
        <v>970</v>
      </c>
      <c r="P67" s="167" t="s">
        <v>99</v>
      </c>
    </row>
    <row r="68" spans="1:35" ht="18" thickTop="1" thickBot="1">
      <c r="A68" s="206" t="s">
        <v>973</v>
      </c>
      <c r="B68" s="225"/>
      <c r="C68" s="226" t="s">
        <v>1264</v>
      </c>
      <c r="D68" s="227"/>
      <c r="E68" s="181" t="s">
        <v>1265</v>
      </c>
      <c r="F68" s="182"/>
      <c r="G68" s="181" t="s">
        <v>1266</v>
      </c>
      <c r="H68" s="183"/>
      <c r="I68" s="225"/>
      <c r="J68" s="226" t="s">
        <v>1267</v>
      </c>
      <c r="K68" s="227"/>
      <c r="L68" s="181" t="s">
        <v>1268</v>
      </c>
      <c r="M68" s="182"/>
      <c r="N68" s="181" t="s">
        <v>1269</v>
      </c>
      <c r="O68" s="183"/>
      <c r="P68" s="273"/>
    </row>
    <row r="69" spans="1:35" s="83" customFormat="1" thickBot="1"/>
    <row r="70" spans="1:35" s="83" customFormat="1" ht="15">
      <c r="A70" s="146" t="s">
        <v>67</v>
      </c>
      <c r="B70" s="100" t="s">
        <v>162</v>
      </c>
      <c r="C70" s="147"/>
      <c r="D70" s="147"/>
      <c r="E70" s="147"/>
      <c r="F70" s="147"/>
      <c r="G70" s="147"/>
      <c r="H70" s="148"/>
      <c r="I70" s="100" t="s">
        <v>163</v>
      </c>
      <c r="J70" s="147"/>
      <c r="K70" s="147"/>
      <c r="L70" s="147"/>
      <c r="M70" s="147"/>
      <c r="N70" s="147"/>
      <c r="O70" s="148"/>
      <c r="P70" s="194" t="s">
        <v>143</v>
      </c>
    </row>
    <row r="71" spans="1:35" s="83" customFormat="1" ht="15">
      <c r="A71" s="150"/>
      <c r="B71" s="104"/>
      <c r="C71" s="96"/>
      <c r="D71" s="96"/>
      <c r="E71" s="96"/>
      <c r="F71" s="96"/>
      <c r="G71" s="96"/>
      <c r="H71" s="151"/>
      <c r="I71" s="104"/>
      <c r="J71" s="96"/>
      <c r="K71" s="96"/>
      <c r="L71" s="96"/>
      <c r="M71" s="96"/>
      <c r="N71" s="96"/>
      <c r="O71" s="151"/>
      <c r="P71" s="195"/>
      <c r="Q71" s="122"/>
      <c r="R71" s="122"/>
      <c r="S71" s="122"/>
      <c r="U71" s="23"/>
      <c r="Y71" s="122"/>
      <c r="Z71" s="122"/>
      <c r="AB71" s="23"/>
      <c r="AE71" s="122"/>
      <c r="AF71" s="122"/>
      <c r="AG71" s="122"/>
      <c r="AI71" s="23"/>
    </row>
    <row r="72" spans="1:35" s="83" customFormat="1" ht="15">
      <c r="A72" s="153"/>
      <c r="B72" s="154" t="s">
        <v>167</v>
      </c>
      <c r="C72" s="89"/>
      <c r="D72" s="89"/>
      <c r="E72" s="89"/>
      <c r="F72" s="89"/>
      <c r="G72" s="89"/>
      <c r="H72" s="155"/>
      <c r="I72" s="154" t="s">
        <v>168</v>
      </c>
      <c r="J72" s="89"/>
      <c r="K72" s="89"/>
      <c r="L72" s="89"/>
      <c r="M72" s="89"/>
      <c r="N72" s="89"/>
      <c r="O72" s="155"/>
      <c r="P72" s="195"/>
      <c r="Q72" s="122"/>
      <c r="R72" s="122"/>
      <c r="S72" s="122"/>
      <c r="U72" s="23"/>
      <c r="X72" s="122"/>
      <c r="Y72" s="122"/>
      <c r="Z72" s="122"/>
      <c r="AB72" s="23"/>
      <c r="AE72" s="122"/>
      <c r="AF72" s="122"/>
      <c r="AG72" s="122"/>
      <c r="AI72" s="23"/>
    </row>
    <row r="73" spans="1:35" s="83" customFormat="1" ht="15">
      <c r="A73" s="156" t="s">
        <v>128</v>
      </c>
      <c r="B73" s="157" t="s">
        <v>0</v>
      </c>
      <c r="C73" s="160" t="s">
        <v>506</v>
      </c>
      <c r="D73" s="159" t="s">
        <v>949</v>
      </c>
      <c r="E73" s="160" t="s">
        <v>508</v>
      </c>
      <c r="F73" s="159" t="s">
        <v>950</v>
      </c>
      <c r="G73" s="160" t="s">
        <v>509</v>
      </c>
      <c r="H73" s="161" t="s">
        <v>951</v>
      </c>
      <c r="I73" s="157" t="s">
        <v>0</v>
      </c>
      <c r="J73" s="160" t="s">
        <v>506</v>
      </c>
      <c r="K73" s="159" t="s">
        <v>949</v>
      </c>
      <c r="L73" s="160" t="s">
        <v>508</v>
      </c>
      <c r="M73" s="159" t="s">
        <v>950</v>
      </c>
      <c r="N73" s="160" t="s">
        <v>509</v>
      </c>
      <c r="O73" s="161" t="s">
        <v>951</v>
      </c>
      <c r="P73" s="196"/>
      <c r="Q73" s="122"/>
      <c r="S73" s="122"/>
      <c r="U73" s="23"/>
      <c r="X73" s="122"/>
      <c r="Y73" s="122"/>
      <c r="Z73" s="122"/>
      <c r="AB73" s="23"/>
      <c r="AE73" s="122"/>
      <c r="AF73" s="122"/>
      <c r="AG73" s="122"/>
      <c r="AI73" s="23"/>
    </row>
    <row r="74" spans="1:35" s="83" customFormat="1" ht="15">
      <c r="A74" s="163" t="s">
        <v>130</v>
      </c>
      <c r="B74" s="167">
        <v>7</v>
      </c>
      <c r="C74" s="126">
        <v>7442</v>
      </c>
      <c r="D74" s="144" t="s">
        <v>287</v>
      </c>
      <c r="E74" s="126">
        <v>7233</v>
      </c>
      <c r="F74" s="127" t="s">
        <v>260</v>
      </c>
      <c r="G74" s="126">
        <v>7426</v>
      </c>
      <c r="H74" s="165" t="s">
        <v>258</v>
      </c>
      <c r="I74" s="164">
        <v>7143</v>
      </c>
      <c r="J74" s="126">
        <v>7812</v>
      </c>
      <c r="K74" s="168">
        <v>0</v>
      </c>
      <c r="L74" s="126">
        <v>8136</v>
      </c>
      <c r="M74" s="25">
        <v>0</v>
      </c>
      <c r="N74" s="126">
        <v>7901</v>
      </c>
      <c r="O74" s="165" t="s">
        <v>256</v>
      </c>
      <c r="P74" s="145">
        <v>8209</v>
      </c>
      <c r="U74" s="23"/>
      <c r="AB74" s="23"/>
      <c r="AI74" s="23"/>
    </row>
    <row r="75" spans="1:35" s="83" customFormat="1" ht="15">
      <c r="A75" s="163" t="s">
        <v>497</v>
      </c>
      <c r="B75" s="164">
        <v>-5098</v>
      </c>
      <c r="C75" s="126">
        <v>-4714</v>
      </c>
      <c r="D75" s="144" t="s">
        <v>610</v>
      </c>
      <c r="E75" s="126">
        <v>-4928</v>
      </c>
      <c r="F75" s="25">
        <v>0</v>
      </c>
      <c r="G75" s="126">
        <v>-4686</v>
      </c>
      <c r="H75" s="165" t="s">
        <v>545</v>
      </c>
      <c r="I75" s="164">
        <v>-5026</v>
      </c>
      <c r="J75" s="126">
        <v>-4715</v>
      </c>
      <c r="K75" s="168">
        <v>0</v>
      </c>
      <c r="L75" s="126">
        <v>-4455</v>
      </c>
      <c r="M75" s="25">
        <v>0</v>
      </c>
      <c r="N75" s="126">
        <v>-4518</v>
      </c>
      <c r="O75" s="165" t="s">
        <v>236</v>
      </c>
      <c r="P75" s="76" t="s">
        <v>550</v>
      </c>
      <c r="U75" s="23"/>
      <c r="AB75" s="23"/>
      <c r="AI75" s="23"/>
    </row>
    <row r="76" spans="1:35" s="83" customFormat="1" ht="15">
      <c r="A76" s="163" t="s">
        <v>551</v>
      </c>
      <c r="B76" s="167" t="s">
        <v>690</v>
      </c>
      <c r="C76" s="75" t="s">
        <v>691</v>
      </c>
      <c r="D76" s="144" t="s">
        <v>254</v>
      </c>
      <c r="E76" s="75" t="s">
        <v>803</v>
      </c>
      <c r="F76" s="127" t="s">
        <v>676</v>
      </c>
      <c r="G76" s="75" t="s">
        <v>838</v>
      </c>
      <c r="H76" s="165" t="s">
        <v>251</v>
      </c>
      <c r="I76" s="167" t="s">
        <v>11</v>
      </c>
      <c r="J76" s="75" t="s">
        <v>585</v>
      </c>
      <c r="K76" s="144" t="s">
        <v>692</v>
      </c>
      <c r="L76" s="75" t="s">
        <v>625</v>
      </c>
      <c r="M76" s="127" t="s">
        <v>389</v>
      </c>
      <c r="N76" s="75" t="s">
        <v>574</v>
      </c>
      <c r="O76" s="166">
        <v>0.08</v>
      </c>
      <c r="P76" s="76" t="s">
        <v>11</v>
      </c>
      <c r="U76" s="23"/>
      <c r="AB76" s="23"/>
      <c r="AI76" s="23"/>
    </row>
    <row r="77" spans="1:35" s="83" customFormat="1" ht="15">
      <c r="A77" s="163" t="s">
        <v>132</v>
      </c>
      <c r="B77" s="167" t="s">
        <v>698</v>
      </c>
      <c r="C77" s="75" t="s">
        <v>699</v>
      </c>
      <c r="D77" s="168">
        <v>0.08</v>
      </c>
      <c r="E77" s="75" t="s">
        <v>876</v>
      </c>
      <c r="F77" s="25">
        <v>0</v>
      </c>
      <c r="G77" s="75" t="s">
        <v>1270</v>
      </c>
      <c r="H77" s="165" t="s">
        <v>268</v>
      </c>
      <c r="I77" s="167" t="s">
        <v>700</v>
      </c>
      <c r="J77" s="75" t="s">
        <v>701</v>
      </c>
      <c r="K77" s="144" t="s">
        <v>702</v>
      </c>
      <c r="L77" s="75" t="s">
        <v>1271</v>
      </c>
      <c r="M77" s="127" t="s">
        <v>480</v>
      </c>
      <c r="N77" s="75" t="s">
        <v>1145</v>
      </c>
      <c r="O77" s="165" t="s">
        <v>470</v>
      </c>
      <c r="P77" s="76" t="s">
        <v>29</v>
      </c>
      <c r="U77" s="23"/>
      <c r="AB77" s="23"/>
      <c r="AI77" s="23"/>
    </row>
    <row r="78" spans="1:35" s="83" customFormat="1" ht="15">
      <c r="A78" s="163" t="s">
        <v>133</v>
      </c>
      <c r="B78" s="167" t="s">
        <v>708</v>
      </c>
      <c r="C78" s="75" t="s">
        <v>708</v>
      </c>
      <c r="D78" s="144" t="s">
        <v>287</v>
      </c>
      <c r="E78" s="75" t="s">
        <v>115</v>
      </c>
      <c r="F78" s="127" t="s">
        <v>246</v>
      </c>
      <c r="G78" s="75" t="s">
        <v>650</v>
      </c>
      <c r="H78" s="166">
        <v>0.11</v>
      </c>
      <c r="I78" s="167" t="s">
        <v>686</v>
      </c>
      <c r="J78" s="75" t="s">
        <v>709</v>
      </c>
      <c r="K78" s="144" t="s">
        <v>263</v>
      </c>
      <c r="L78" s="75" t="s">
        <v>1120</v>
      </c>
      <c r="M78" s="25">
        <v>0</v>
      </c>
      <c r="N78" s="75" t="s">
        <v>649</v>
      </c>
      <c r="O78" s="165" t="s">
        <v>236</v>
      </c>
      <c r="P78" s="76" t="s">
        <v>30</v>
      </c>
      <c r="S78" s="122"/>
      <c r="U78" s="23"/>
      <c r="Y78" s="122"/>
      <c r="Z78" s="122"/>
      <c r="AB78" s="23"/>
      <c r="AF78" s="122"/>
      <c r="AG78" s="122"/>
      <c r="AI78" s="23"/>
    </row>
    <row r="79" spans="1:35" s="83" customFormat="1" ht="15">
      <c r="A79" s="163" t="s">
        <v>134</v>
      </c>
      <c r="B79" s="167" t="s">
        <v>31</v>
      </c>
      <c r="C79" s="75" t="s">
        <v>27</v>
      </c>
      <c r="D79" s="168">
        <v>0</v>
      </c>
      <c r="E79" s="75" t="s">
        <v>38</v>
      </c>
      <c r="F79" s="127" t="s">
        <v>611</v>
      </c>
      <c r="G79" s="75" t="s">
        <v>580</v>
      </c>
      <c r="H79" s="166">
        <v>0</v>
      </c>
      <c r="I79" s="167" t="s">
        <v>710</v>
      </c>
      <c r="J79" s="75" t="s">
        <v>710</v>
      </c>
      <c r="K79" s="144" t="s">
        <v>711</v>
      </c>
      <c r="L79" s="75" t="s">
        <v>710</v>
      </c>
      <c r="M79" s="127" t="s">
        <v>298</v>
      </c>
      <c r="N79" s="75" t="s">
        <v>850</v>
      </c>
      <c r="O79" s="165" t="s">
        <v>435</v>
      </c>
      <c r="P79" s="76" t="s">
        <v>31</v>
      </c>
      <c r="R79" s="122"/>
      <c r="S79" s="122"/>
      <c r="U79" s="23"/>
      <c r="X79" s="122"/>
      <c r="Y79" s="122"/>
      <c r="Z79" s="122"/>
      <c r="AB79" s="23"/>
      <c r="AE79" s="122"/>
      <c r="AF79" s="122"/>
      <c r="AG79" s="122"/>
      <c r="AI79" s="23"/>
    </row>
    <row r="80" spans="1:35" s="83" customFormat="1" ht="15">
      <c r="A80" s="163" t="s">
        <v>135</v>
      </c>
      <c r="B80" s="167" t="s">
        <v>675</v>
      </c>
      <c r="C80" s="75" t="s">
        <v>714</v>
      </c>
      <c r="D80" s="168">
        <v>0.18</v>
      </c>
      <c r="E80" s="75" t="s">
        <v>657</v>
      </c>
      <c r="F80" s="127" t="s">
        <v>429</v>
      </c>
      <c r="G80" s="126" t="s">
        <v>760</v>
      </c>
      <c r="H80" s="165" t="s">
        <v>420</v>
      </c>
      <c r="I80" s="167" t="s">
        <v>652</v>
      </c>
      <c r="J80" s="75" t="s">
        <v>11</v>
      </c>
      <c r="K80" s="144" t="s">
        <v>299</v>
      </c>
      <c r="L80" s="75" t="s">
        <v>91</v>
      </c>
      <c r="M80" s="127" t="s">
        <v>610</v>
      </c>
      <c r="N80" s="126" t="s">
        <v>559</v>
      </c>
      <c r="O80" s="166">
        <v>0.28000000000000003</v>
      </c>
      <c r="P80" s="76" t="s">
        <v>32</v>
      </c>
      <c r="R80" s="122"/>
      <c r="S80" s="122"/>
      <c r="U80" s="23"/>
      <c r="X80" s="122"/>
      <c r="Y80" s="122"/>
      <c r="Z80" s="122"/>
      <c r="AB80" s="23"/>
      <c r="AE80" s="122"/>
      <c r="AF80" s="122"/>
      <c r="AG80" s="122"/>
      <c r="AI80" s="23"/>
    </row>
    <row r="81" spans="1:35" s="83" customFormat="1" ht="15">
      <c r="A81" s="163" t="s">
        <v>136</v>
      </c>
      <c r="B81" s="167" t="s">
        <v>659</v>
      </c>
      <c r="C81" s="126">
        <v>1308</v>
      </c>
      <c r="D81" s="144" t="s">
        <v>545</v>
      </c>
      <c r="E81" s="126">
        <v>1278</v>
      </c>
      <c r="F81" s="25">
        <v>0</v>
      </c>
      <c r="G81" s="126">
        <v>1107</v>
      </c>
      <c r="H81" s="165" t="s">
        <v>246</v>
      </c>
      <c r="I81" s="167" t="s">
        <v>659</v>
      </c>
      <c r="J81" s="75" t="s">
        <v>718</v>
      </c>
      <c r="K81" s="144" t="s">
        <v>439</v>
      </c>
      <c r="L81" s="126">
        <v>1205</v>
      </c>
      <c r="M81" s="25">
        <v>0</v>
      </c>
      <c r="N81" s="126">
        <v>1215</v>
      </c>
      <c r="O81" s="165" t="s">
        <v>236</v>
      </c>
      <c r="P81" s="145">
        <v>1044</v>
      </c>
      <c r="U81" s="23"/>
      <c r="AB81" s="23"/>
      <c r="AI81" s="23"/>
    </row>
    <row r="82" spans="1:35" s="83" customFormat="1" ht="15">
      <c r="A82" s="163" t="s">
        <v>498</v>
      </c>
      <c r="B82" s="164">
        <v>11035</v>
      </c>
      <c r="C82" s="126">
        <v>11139</v>
      </c>
      <c r="D82" s="144" t="s">
        <v>722</v>
      </c>
      <c r="E82" s="126">
        <v>11047</v>
      </c>
      <c r="F82" s="127" t="s">
        <v>1272</v>
      </c>
      <c r="G82" s="126">
        <v>11124</v>
      </c>
      <c r="H82" s="165" t="s">
        <v>1190</v>
      </c>
      <c r="I82" s="164">
        <v>11254</v>
      </c>
      <c r="J82" s="126">
        <v>11422</v>
      </c>
      <c r="K82" s="144" t="s">
        <v>435</v>
      </c>
      <c r="L82" s="126">
        <v>11506</v>
      </c>
      <c r="M82" s="127" t="s">
        <v>238</v>
      </c>
      <c r="N82" s="126">
        <v>11263</v>
      </c>
      <c r="O82" s="165" t="s">
        <v>722</v>
      </c>
      <c r="P82" s="145">
        <v>11827</v>
      </c>
      <c r="Q82" s="122"/>
      <c r="R82" s="122"/>
      <c r="S82" s="122"/>
      <c r="U82" s="23"/>
      <c r="X82" s="122"/>
      <c r="Y82" s="122"/>
      <c r="Z82" s="122"/>
      <c r="AB82" s="23"/>
      <c r="AE82" s="122"/>
      <c r="AF82" s="122"/>
      <c r="AG82" s="122"/>
      <c r="AI82" s="23"/>
    </row>
    <row r="83" spans="1:35" s="83" customFormat="1" ht="15">
      <c r="A83" s="163" t="s">
        <v>137</v>
      </c>
      <c r="B83" s="167" t="s">
        <v>728</v>
      </c>
      <c r="C83" s="75" t="s">
        <v>729</v>
      </c>
      <c r="D83" s="144" t="s">
        <v>429</v>
      </c>
      <c r="E83" s="75" t="s">
        <v>834</v>
      </c>
      <c r="F83" s="127" t="s">
        <v>425</v>
      </c>
      <c r="G83" s="75" t="s">
        <v>902</v>
      </c>
      <c r="H83" s="165" t="s">
        <v>413</v>
      </c>
      <c r="I83" s="167" t="s">
        <v>730</v>
      </c>
      <c r="J83" s="75" t="s">
        <v>731</v>
      </c>
      <c r="K83" s="144" t="s">
        <v>258</v>
      </c>
      <c r="L83" s="75" t="s">
        <v>1188</v>
      </c>
      <c r="M83" s="127" t="s">
        <v>285</v>
      </c>
      <c r="N83" s="75" t="s">
        <v>1273</v>
      </c>
      <c r="O83" s="165" t="s">
        <v>236</v>
      </c>
      <c r="P83" s="76" t="s">
        <v>33</v>
      </c>
      <c r="Q83" s="122"/>
      <c r="R83" s="122"/>
      <c r="S83" s="122"/>
      <c r="U83" s="23"/>
      <c r="X83" s="122"/>
      <c r="Z83" s="122"/>
      <c r="AB83" s="23"/>
      <c r="AE83" s="122"/>
      <c r="AF83" s="122"/>
      <c r="AG83" s="122"/>
      <c r="AI83" s="23"/>
    </row>
    <row r="84" spans="1:35" s="83" customFormat="1" ht="15">
      <c r="A84" s="163" t="s">
        <v>138</v>
      </c>
      <c r="B84" s="167" t="s">
        <v>579</v>
      </c>
      <c r="C84" s="75" t="s">
        <v>674</v>
      </c>
      <c r="D84" s="168">
        <v>0</v>
      </c>
      <c r="E84" s="75" t="s">
        <v>28</v>
      </c>
      <c r="F84" s="25">
        <v>0</v>
      </c>
      <c r="G84" s="126" t="s">
        <v>651</v>
      </c>
      <c r="H84" s="165" t="s">
        <v>236</v>
      </c>
      <c r="I84" s="167" t="s">
        <v>101</v>
      </c>
      <c r="J84" s="75" t="s">
        <v>38</v>
      </c>
      <c r="K84" s="168">
        <v>0</v>
      </c>
      <c r="L84" s="75" t="s">
        <v>41</v>
      </c>
      <c r="M84" s="127" t="s">
        <v>386</v>
      </c>
      <c r="N84" s="126" t="s">
        <v>12</v>
      </c>
      <c r="O84" s="165" t="s">
        <v>692</v>
      </c>
      <c r="P84" s="76" t="s">
        <v>34</v>
      </c>
      <c r="U84" s="23"/>
      <c r="AB84" s="23"/>
      <c r="AI84" s="23"/>
    </row>
    <row r="85" spans="1:35" s="83" customFormat="1" ht="15">
      <c r="A85" s="163" t="s">
        <v>139</v>
      </c>
      <c r="B85" s="164">
        <v>3467</v>
      </c>
      <c r="C85" s="126">
        <v>3571</v>
      </c>
      <c r="D85" s="144" t="s">
        <v>545</v>
      </c>
      <c r="E85" s="126">
        <v>3568</v>
      </c>
      <c r="F85" s="127" t="s">
        <v>256</v>
      </c>
      <c r="G85" s="75" t="s">
        <v>1274</v>
      </c>
      <c r="H85" s="165" t="s">
        <v>399</v>
      </c>
      <c r="I85" s="164">
        <v>3561</v>
      </c>
      <c r="J85" s="126">
        <v>3557</v>
      </c>
      <c r="K85" s="144" t="s">
        <v>435</v>
      </c>
      <c r="L85" s="126">
        <v>3566</v>
      </c>
      <c r="M85" s="127" t="s">
        <v>402</v>
      </c>
      <c r="N85" s="126">
        <v>3563</v>
      </c>
      <c r="O85" s="165" t="s">
        <v>597</v>
      </c>
      <c r="P85" s="145">
        <v>3568</v>
      </c>
    </row>
    <row r="86" spans="1:35" s="83" customFormat="1" ht="15">
      <c r="A86" s="163" t="s">
        <v>140</v>
      </c>
      <c r="B86" s="167" t="s">
        <v>616</v>
      </c>
      <c r="C86" s="75" t="s">
        <v>734</v>
      </c>
      <c r="D86" s="144" t="s">
        <v>240</v>
      </c>
      <c r="E86" s="75" t="s">
        <v>970</v>
      </c>
      <c r="F86" s="127" t="s">
        <v>970</v>
      </c>
      <c r="G86" s="75" t="s">
        <v>970</v>
      </c>
      <c r="H86" s="165" t="s">
        <v>970</v>
      </c>
      <c r="I86" s="167" t="s">
        <v>733</v>
      </c>
      <c r="J86" s="75" t="s">
        <v>95</v>
      </c>
      <c r="K86" s="168">
        <v>0</v>
      </c>
      <c r="L86" s="75" t="s">
        <v>970</v>
      </c>
      <c r="M86" s="127" t="s">
        <v>970</v>
      </c>
      <c r="N86" s="75" t="s">
        <v>970</v>
      </c>
      <c r="O86" s="165" t="s">
        <v>970</v>
      </c>
      <c r="P86" s="76" t="s">
        <v>35</v>
      </c>
    </row>
    <row r="87" spans="1:35" s="83" customFormat="1" ht="15">
      <c r="A87" s="163" t="s">
        <v>141</v>
      </c>
      <c r="B87" s="167" t="s">
        <v>656</v>
      </c>
      <c r="C87" s="75" t="s">
        <v>581</v>
      </c>
      <c r="D87" s="144" t="s">
        <v>399</v>
      </c>
      <c r="E87" s="75" t="s">
        <v>970</v>
      </c>
      <c r="F87" s="127" t="s">
        <v>970</v>
      </c>
      <c r="G87" s="75" t="s">
        <v>970</v>
      </c>
      <c r="H87" s="165" t="s">
        <v>970</v>
      </c>
      <c r="I87" s="167" t="s">
        <v>736</v>
      </c>
      <c r="J87" s="75" t="s">
        <v>619</v>
      </c>
      <c r="K87" s="144" t="s">
        <v>285</v>
      </c>
      <c r="L87" s="75" t="s">
        <v>970</v>
      </c>
      <c r="M87" s="127" t="s">
        <v>970</v>
      </c>
      <c r="N87" s="75" t="s">
        <v>970</v>
      </c>
      <c r="O87" s="165" t="s">
        <v>970</v>
      </c>
      <c r="P87" s="76" t="s">
        <v>36</v>
      </c>
    </row>
    <row r="88" spans="1:35" s="83" customFormat="1" ht="15">
      <c r="A88" s="163" t="s">
        <v>142</v>
      </c>
      <c r="B88" s="167" t="s">
        <v>737</v>
      </c>
      <c r="C88" s="75" t="s">
        <v>22</v>
      </c>
      <c r="D88" s="144" t="s">
        <v>558</v>
      </c>
      <c r="E88" s="75" t="s">
        <v>970</v>
      </c>
      <c r="F88" s="172" t="s">
        <v>970</v>
      </c>
      <c r="G88" s="75" t="s">
        <v>970</v>
      </c>
      <c r="H88" s="135" t="s">
        <v>970</v>
      </c>
      <c r="I88" s="167" t="s">
        <v>27</v>
      </c>
      <c r="J88" s="75" t="s">
        <v>98</v>
      </c>
      <c r="K88" s="168">
        <v>0.09</v>
      </c>
      <c r="L88" s="75" t="s">
        <v>970</v>
      </c>
      <c r="M88" s="172" t="s">
        <v>970</v>
      </c>
      <c r="N88" s="75" t="s">
        <v>970</v>
      </c>
      <c r="O88" s="135" t="s">
        <v>970</v>
      </c>
      <c r="P88" s="76" t="s">
        <v>38</v>
      </c>
    </row>
    <row r="89" spans="1:35" s="83" customFormat="1" ht="15">
      <c r="A89" s="163" t="s">
        <v>1034</v>
      </c>
      <c r="B89" s="167" t="s">
        <v>901</v>
      </c>
      <c r="C89" s="75" t="s">
        <v>970</v>
      </c>
      <c r="D89" s="168" t="s">
        <v>970</v>
      </c>
      <c r="E89" s="75" t="s">
        <v>679</v>
      </c>
      <c r="F89" s="127" t="s">
        <v>240</v>
      </c>
      <c r="G89" s="75" t="s">
        <v>970</v>
      </c>
      <c r="H89" s="135" t="s">
        <v>970</v>
      </c>
      <c r="I89" s="167" t="s">
        <v>809</v>
      </c>
      <c r="J89" s="75" t="s">
        <v>970</v>
      </c>
      <c r="K89" s="144" t="s">
        <v>970</v>
      </c>
      <c r="L89" s="75" t="s">
        <v>99</v>
      </c>
      <c r="M89" s="25">
        <v>0.18</v>
      </c>
      <c r="N89" s="75" t="s">
        <v>970</v>
      </c>
      <c r="O89" s="135" t="s">
        <v>970</v>
      </c>
      <c r="P89" s="167" t="s">
        <v>87</v>
      </c>
    </row>
    <row r="90" spans="1:35" s="83" customFormat="1" thickBot="1">
      <c r="A90" s="173" t="s">
        <v>1230</v>
      </c>
      <c r="B90" s="202" t="s">
        <v>1216</v>
      </c>
      <c r="C90" s="80" t="s">
        <v>970</v>
      </c>
      <c r="D90" s="201" t="s">
        <v>970</v>
      </c>
      <c r="E90" s="80" t="s">
        <v>1275</v>
      </c>
      <c r="F90" s="251" t="s">
        <v>786</v>
      </c>
      <c r="G90" s="80" t="s">
        <v>970</v>
      </c>
      <c r="H90" s="177" t="s">
        <v>970</v>
      </c>
      <c r="I90" s="202" t="s">
        <v>104</v>
      </c>
      <c r="J90" s="80" t="s">
        <v>970</v>
      </c>
      <c r="K90" s="175" t="s">
        <v>970</v>
      </c>
      <c r="L90" s="80" t="s">
        <v>18</v>
      </c>
      <c r="M90" s="251" t="s">
        <v>296</v>
      </c>
      <c r="N90" s="80" t="s">
        <v>970</v>
      </c>
      <c r="O90" s="177" t="s">
        <v>970</v>
      </c>
      <c r="P90" s="167" t="s">
        <v>99</v>
      </c>
    </row>
    <row r="91" spans="1:35" s="83" customFormat="1" ht="18" thickTop="1" thickBot="1">
      <c r="A91" s="206" t="s">
        <v>973</v>
      </c>
      <c r="B91" s="225"/>
      <c r="C91" s="226" t="s">
        <v>1276</v>
      </c>
      <c r="D91" s="227"/>
      <c r="E91" s="181" t="s">
        <v>1277</v>
      </c>
      <c r="F91" s="182"/>
      <c r="G91" s="181" t="s">
        <v>1278</v>
      </c>
      <c r="H91" s="183"/>
      <c r="I91" s="225"/>
      <c r="J91" s="226" t="s">
        <v>1279</v>
      </c>
      <c r="K91" s="227"/>
      <c r="L91" s="181" t="s">
        <v>1280</v>
      </c>
      <c r="M91" s="182"/>
      <c r="N91" s="181" t="s">
        <v>1281</v>
      </c>
      <c r="O91" s="183"/>
      <c r="P91" s="273"/>
    </row>
    <row r="92" spans="1:35" s="83" customFormat="1" ht="15"/>
    <row r="93" spans="1:35" s="83" customFormat="1" ht="15"/>
    <row r="94" spans="1:35" s="83" customFormat="1" ht="15"/>
    <row r="95" spans="1:35" s="83" customFormat="1" ht="15"/>
    <row r="96" spans="1:35" s="83" customFormat="1" ht="15"/>
    <row r="97" s="83" customFormat="1" ht="15"/>
    <row r="98" s="83" customFormat="1" ht="15"/>
    <row r="99" s="83" customFormat="1" ht="15"/>
    <row r="100" s="83" customFormat="1" ht="15"/>
    <row r="101" s="83" customFormat="1" ht="15"/>
    <row r="102" s="83" customFormat="1" ht="15"/>
    <row r="103" s="83" customFormat="1" ht="15"/>
    <row r="104" s="83" customFormat="1" ht="15"/>
    <row r="105" s="83" customFormat="1" ht="15"/>
    <row r="106" s="83" customFormat="1" ht="15"/>
    <row r="107" s="83" customFormat="1" ht="15"/>
    <row r="108" s="83" customFormat="1" ht="15"/>
    <row r="109" s="83" customFormat="1" ht="15"/>
    <row r="110" s="83" customFormat="1" ht="15"/>
    <row r="111" s="83" customFormat="1" ht="15"/>
    <row r="112" s="83" customFormat="1" ht="15"/>
    <row r="113" s="83" customFormat="1" ht="15"/>
    <row r="114" s="83" customFormat="1" ht="15"/>
    <row r="115" s="83" customFormat="1" ht="15"/>
    <row r="116" s="83" customFormat="1" ht="15"/>
    <row r="117" s="83" customFormat="1" ht="15"/>
    <row r="118" s="83" customFormat="1" ht="15"/>
    <row r="119" s="83" customFormat="1" ht="15"/>
    <row r="120" s="83" customFormat="1" ht="15"/>
    <row r="121" s="83" customFormat="1" ht="15"/>
    <row r="122" s="83" customFormat="1" ht="15"/>
    <row r="123" s="83" customFormat="1" ht="15"/>
    <row r="124" s="83" customFormat="1" ht="15"/>
    <row r="125" s="83" customFormat="1" ht="15"/>
    <row r="126" s="83" customFormat="1" ht="15"/>
    <row r="127" s="83" customFormat="1" ht="15"/>
    <row r="128" s="83" customFormat="1" ht="15"/>
    <row r="129" s="83" customFormat="1" ht="15"/>
    <row r="130" s="83" customFormat="1" ht="15"/>
    <row r="131" s="83" customFormat="1" ht="15"/>
    <row r="132" s="83" customFormat="1" ht="15"/>
    <row r="133" s="83" customFormat="1" ht="15"/>
    <row r="134" s="83" customFormat="1" ht="15"/>
    <row r="135" s="83" customFormat="1" ht="15"/>
    <row r="136" s="83" customFormat="1" ht="15"/>
    <row r="137" s="83" customFormat="1" ht="15"/>
    <row r="138" s="83" customFormat="1" ht="15"/>
    <row r="139" s="83" customFormat="1" ht="15"/>
    <row r="140" s="83" customFormat="1" ht="15"/>
    <row r="141" s="83" customFormat="1" ht="15"/>
    <row r="142" s="83" customFormat="1" ht="15"/>
    <row r="143" s="83" customFormat="1" ht="15"/>
    <row r="144" s="83" customFormat="1" ht="15"/>
    <row r="145" s="83" customFormat="1" ht="15"/>
    <row r="146" s="83" customFormat="1" ht="15"/>
    <row r="147" s="83" customFormat="1" ht="15"/>
    <row r="148" s="83" customFormat="1" ht="15"/>
    <row r="149" s="83" customFormat="1" ht="15"/>
    <row r="150" s="83" customFormat="1" ht="15"/>
    <row r="151" s="83" customFormat="1" ht="15"/>
    <row r="152" s="83" customFormat="1" ht="15"/>
    <row r="153" s="83" customFormat="1" ht="15"/>
    <row r="154" s="83" customFormat="1" ht="15"/>
    <row r="155" s="83" customFormat="1" ht="15"/>
    <row r="156" s="83" customFormat="1" ht="15"/>
    <row r="157" s="83" customFormat="1" ht="15"/>
    <row r="158" s="83" customFormat="1" ht="15"/>
    <row r="159" s="83" customFormat="1" ht="15"/>
    <row r="160" s="83" customFormat="1" ht="15"/>
    <row r="161" s="83" customFormat="1" ht="15"/>
    <row r="162" s="83" customFormat="1" ht="15"/>
    <row r="163" s="83" customFormat="1" ht="15"/>
    <row r="164" s="83" customFormat="1" ht="15"/>
    <row r="165" s="83" customFormat="1" ht="15"/>
    <row r="166" s="83" customFormat="1" ht="15"/>
    <row r="167" s="83" customFormat="1" ht="15"/>
    <row r="168" s="83" customFormat="1" ht="15"/>
    <row r="169" s="83" customFormat="1" ht="15"/>
    <row r="170" s="83" customFormat="1" ht="15"/>
    <row r="171" s="83" customFormat="1" ht="15"/>
    <row r="172" s="83" customFormat="1" ht="15"/>
    <row r="173" s="83" customFormat="1" ht="15"/>
    <row r="174" s="83" customFormat="1" ht="15"/>
    <row r="175" s="83" customFormat="1" ht="15"/>
    <row r="176" s="83" customFormat="1" ht="15"/>
    <row r="177" s="83" customFormat="1" ht="15"/>
    <row r="178" s="83" customFormat="1" ht="15"/>
    <row r="179" s="83" customFormat="1" ht="15"/>
    <row r="180" s="83" customFormat="1" ht="15"/>
    <row r="181" s="83" customFormat="1" ht="15"/>
    <row r="182" s="83" customFormat="1" ht="15"/>
    <row r="183" s="83" customFormat="1" ht="15"/>
    <row r="184" s="83" customFormat="1" ht="15"/>
    <row r="185" s="83" customFormat="1" ht="15"/>
    <row r="186" s="83" customFormat="1" ht="15"/>
    <row r="187" s="83" customFormat="1" ht="15"/>
    <row r="188" s="83" customFormat="1" ht="15"/>
    <row r="189" s="83" customFormat="1" ht="15"/>
    <row r="190" s="83" customFormat="1" ht="15"/>
    <row r="191" s="83" customFormat="1" ht="15"/>
    <row r="192" s="83" customFormat="1" ht="15"/>
    <row r="193" s="83" customFormat="1" ht="15"/>
    <row r="194" s="83" customFormat="1" ht="15"/>
    <row r="195" s="83" customFormat="1" ht="15"/>
    <row r="196" s="83" customFormat="1" ht="15"/>
    <row r="197" s="83" customFormat="1" ht="15"/>
    <row r="198" s="83" customFormat="1" ht="15"/>
    <row r="199" s="83" customFormat="1" ht="15"/>
    <row r="200" s="83" customFormat="1" ht="15"/>
    <row r="201" s="83" customFormat="1" ht="15"/>
    <row r="202" s="83" customFormat="1" ht="15"/>
    <row r="203" s="83" customFormat="1" ht="15"/>
    <row r="204" s="83" customFormat="1" ht="15"/>
    <row r="205" s="83" customFormat="1" ht="15"/>
    <row r="206" s="83" customFormat="1" ht="15"/>
    <row r="207" s="83" customFormat="1" ht="15"/>
    <row r="208" s="83" customFormat="1" ht="15"/>
    <row r="209" s="83" customFormat="1" ht="15"/>
    <row r="210" s="83" customFormat="1" ht="15"/>
    <row r="211" s="83" customFormat="1" ht="15"/>
    <row r="212" s="83" customFormat="1" ht="15"/>
    <row r="213" s="83" customFormat="1" ht="15"/>
    <row r="214" s="83" customFormat="1" ht="15"/>
    <row r="215" s="83" customFormat="1" ht="15"/>
    <row r="216" s="83" customFormat="1" ht="15"/>
    <row r="217" s="83" customFormat="1" ht="15"/>
    <row r="218" s="83" customFormat="1" ht="15"/>
    <row r="219" s="83" customFormat="1" ht="15"/>
    <row r="220" s="83" customFormat="1" ht="15"/>
    <row r="221" s="83" customFormat="1" ht="15"/>
    <row r="222" s="83" customFormat="1" ht="15"/>
    <row r="223" s="83" customFormat="1" ht="15"/>
    <row r="224" s="83" customFormat="1" ht="15"/>
    <row r="225" s="83" customFormat="1" ht="15"/>
    <row r="226" s="83" customFormat="1" ht="15"/>
    <row r="227" s="83" customFormat="1" ht="15"/>
    <row r="228" s="83" customFormat="1" ht="15"/>
    <row r="229" s="83" customFormat="1" ht="15"/>
    <row r="230" s="83" customFormat="1" ht="15"/>
    <row r="231" s="83" customFormat="1" ht="15"/>
    <row r="232" s="83" customFormat="1" ht="15"/>
    <row r="233" s="83" customFormat="1" ht="15"/>
    <row r="234" s="83" customFormat="1" ht="15"/>
    <row r="235" s="83" customFormat="1" ht="15"/>
    <row r="236" s="83" customFormat="1" ht="15"/>
    <row r="237" s="83" customFormat="1" ht="15"/>
    <row r="238" s="83" customFormat="1" ht="15"/>
    <row r="239" s="83" customFormat="1" ht="15"/>
    <row r="240" s="83" customFormat="1" ht="15"/>
    <row r="241" s="83" customFormat="1" ht="15"/>
    <row r="242" s="83" customFormat="1" ht="15"/>
    <row r="243" s="83" customFormat="1" ht="15"/>
    <row r="244" s="83" customFormat="1" ht="15"/>
    <row r="245" s="83" customFormat="1" ht="15"/>
    <row r="246" s="83" customFormat="1" ht="15"/>
    <row r="247" s="83" customFormat="1" ht="15"/>
    <row r="248" s="83" customFormat="1" ht="15"/>
    <row r="249" s="83" customFormat="1" ht="15"/>
    <row r="250" s="83" customFormat="1" ht="15"/>
    <row r="251" s="83" customFormat="1" ht="15"/>
    <row r="252" s="83" customFormat="1" ht="15"/>
  </sheetData>
  <mergeCells count="58">
    <mergeCell ref="C91:D91"/>
    <mergeCell ref="E91:F91"/>
    <mergeCell ref="G91:H91"/>
    <mergeCell ref="J91:K91"/>
    <mergeCell ref="L91:M91"/>
    <mergeCell ref="N91:O91"/>
    <mergeCell ref="A70:A72"/>
    <mergeCell ref="B70:H71"/>
    <mergeCell ref="I70:O71"/>
    <mergeCell ref="P70:P73"/>
    <mergeCell ref="B72:H72"/>
    <mergeCell ref="I72:O72"/>
    <mergeCell ref="C68:D68"/>
    <mergeCell ref="E68:F68"/>
    <mergeCell ref="G68:H68"/>
    <mergeCell ref="J68:K68"/>
    <mergeCell ref="L68:M68"/>
    <mergeCell ref="N68:O68"/>
    <mergeCell ref="Q45:R45"/>
    <mergeCell ref="S45:T45"/>
    <mergeCell ref="U45:V45"/>
    <mergeCell ref="A47:A49"/>
    <mergeCell ref="B47:H48"/>
    <mergeCell ref="I47:O48"/>
    <mergeCell ref="P47:P50"/>
    <mergeCell ref="B49:H49"/>
    <mergeCell ref="I49:O49"/>
    <mergeCell ref="W24:W27"/>
    <mergeCell ref="B26:H26"/>
    <mergeCell ref="I26:O26"/>
    <mergeCell ref="P26:V26"/>
    <mergeCell ref="C45:D45"/>
    <mergeCell ref="E45:F45"/>
    <mergeCell ref="G45:H45"/>
    <mergeCell ref="J45:K45"/>
    <mergeCell ref="L45:M45"/>
    <mergeCell ref="N45:O45"/>
    <mergeCell ref="Q22:R22"/>
    <mergeCell ref="S22:T22"/>
    <mergeCell ref="U22:V22"/>
    <mergeCell ref="A24:A26"/>
    <mergeCell ref="B24:H25"/>
    <mergeCell ref="I24:O25"/>
    <mergeCell ref="P24:V25"/>
    <mergeCell ref="C22:D22"/>
    <mergeCell ref="E22:F22"/>
    <mergeCell ref="G22:H22"/>
    <mergeCell ref="J22:K22"/>
    <mergeCell ref="L22:M22"/>
    <mergeCell ref="N22:O22"/>
    <mergeCell ref="A1:A3"/>
    <mergeCell ref="B1:H2"/>
    <mergeCell ref="I1:O2"/>
    <mergeCell ref="P1:V2"/>
    <mergeCell ref="W1:W4"/>
    <mergeCell ref="B3:H3"/>
    <mergeCell ref="I3:O3"/>
    <mergeCell ref="P3:V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DonorWeight_Spec1</vt:lpstr>
      <vt:lpstr>SummaryStatistics</vt:lpstr>
      <vt:lpstr>ATT</vt:lpstr>
      <vt:lpstr>Covariance Balance _ Spec 1</vt:lpstr>
      <vt:lpstr>Slovakia</vt:lpstr>
      <vt:lpstr>Latvia</vt:lpstr>
      <vt:lpstr>Slovenia</vt:lpstr>
      <vt:lpstr>Cyprus</vt:lpstr>
      <vt:lpstr>Malta</vt:lpstr>
      <vt:lpstr>Estonia</vt:lpstr>
      <vt:lpstr>Lithuania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FADELLI LISA [EC1200175]</dc:creator>
  <cp:lastModifiedBy>FADELLI LISA [EC1200175]</cp:lastModifiedBy>
  <cp:lastPrinted>2022-10-19T08:09:40Z</cp:lastPrinted>
  <dcterms:created xsi:type="dcterms:W3CDTF">2022-09-11T20:07:43Z</dcterms:created>
  <dcterms:modified xsi:type="dcterms:W3CDTF">2022-10-28T10:02:21Z</dcterms:modified>
</cp:coreProperties>
</file>